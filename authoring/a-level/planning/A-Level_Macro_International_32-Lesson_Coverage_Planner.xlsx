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8c3939c13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29cd0b39934035"/>
    <x:sheet xmlns:r="http://schemas.openxmlformats.org/officeDocument/2006/relationships" name="Subtopic Summary" sheetId="2" r:id="R6f743adf2da749fe"/>
    <x:sheet xmlns:r="http://schemas.openxmlformats.org/officeDocument/2006/relationships" name="Detailed Checklist" sheetId="3" r:id="Rd2a490629dad4cb0"/>
    <x:sheet xmlns:r="http://schemas.openxmlformats.org/officeDocument/2006/relationships" name="32-Lesson Model" sheetId="4" r:id="R478034b928b7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%"/>
  </x:numFmts>
  <x:fonts count="11">
    <x:font>
      <x:sz val="11"/>
      <x:name val="Carlito"/>
    </x:font>
    <x:font>
      <x:b/>
      <x:sz val="20"/>
      <x:color rgb="FFFFFFFF"/>
      <x:name val="Aptos Display"/>
    </x:font>
    <x:font>
      <x:sz val="10"/>
      <x:color rgb="FF475569"/>
      <x:name val="Aptos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0"/>
      <x:color rgb="FFFFFFFF"/>
      <x:name val="Aptos"/>
    </x:font>
    <x:font>
      <x:b/>
      <x:sz val="10"/>
      <x:color rgb="FF15803D"/>
      <x:name val="Aptos"/>
    </x:font>
    <x:font>
      <x:b/>
      <x:sz val="10"/>
      <x:color rgb="FF17324D"/>
      <x:name val="Aptos"/>
    </x:font>
    <x:font>
      <x:i/>
      <x:sz val="10"/>
      <x:color rgb="FF475569"/>
      <x:name val="Aptos"/>
    </x:font>
    <x:font>
      <x:i/>
      <x:sz val="10"/>
      <x:color rgb="FF92400E"/>
      <x:name val="Aptos"/>
    </x:font>
    <x:font>
      <x:b/>
      <x:sz val="10"/>
      <x:color rgb="FFB91C1C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</x:fills>
  <x:borders count="21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  <x:bottom style="thin">
        <x:color rgb="FF0F766E"/>
      </x:bottom>
    </x:border>
    <x:border>
      <x:top style="thin">
        <x:color rgb="FFCBD5E1"/>
      </x:top>
      <x:bottom style="thin">
        <x:color rgb="FF0F766E"/>
      </x:bottom>
    </x:border>
    <x:border>
      <x:right style="thin">
        <x:color rgb="FFCBD5E1"/>
      </x:right>
      <x:top style="thin">
        <x:color rgb="FFCBD5E1"/>
      </x:top>
      <x:bottom style="thin">
        <x:color rgb="FF0F766E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B91C1C"/>
      </x:left>
      <x:top style="thin">
        <x:color rgb="FFB91C1C"/>
      </x:top>
      <x:bottom style="thin">
        <x:color rgb="FFB91C1C"/>
      </x:bottom>
    </x:border>
    <x:border>
      <x:top style="thin">
        <x:color rgb="FFB91C1C"/>
      </x:top>
      <x:bottom style="thin">
        <x:color rgb="FFB91C1C"/>
      </x:bottom>
    </x:border>
    <x:border>
      <x:right style="thin">
        <x:color rgb="FFB91C1C"/>
      </x:right>
      <x:top style="thin">
        <x:color rgb="FFB91C1C"/>
      </x:top>
      <x:bottom style="thin">
        <x:color rgb="FFB91C1C"/>
      </x:bottom>
    </x:border>
    <x:border>
      <x:left style="thin">
        <x:color rgb="FFCBD5E1"/>
      </x:left>
      <x:top style="thin">
        <x:color rgb="FFB91C1C"/>
      </x:top>
      <x:bottom style="thin">
        <x:color rgb="FFCBD5E1"/>
      </x:bottom>
    </x:border>
    <x:border>
      <x:top style="thin">
        <x:color rgb="FFB91C1C"/>
      </x:top>
      <x:bottom style="thin">
        <x:color rgb="FFCBD5E1"/>
      </x:bottom>
    </x:border>
    <x:border>
      <x:right style="thin">
        <x:color rgb="FFCBD5E1"/>
      </x:right>
      <x:top style="thin">
        <x:color rgb="FFB91C1C"/>
      </x:top>
      <x:bottom style="thin">
        <x:color rgb="FFCBD5E1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6" fillId="7" borderId="0" xfId="0" applyNumberFormat="1" applyFont="1" applyFill="1" applyBorder="1"/>
    <x:xf numFmtId="200" fontId="4" fillId="5" borderId="0" xfId="0" applyNumberFormat="1" applyFont="1" applyFill="1" applyBorder="1"/>
    <x:xf numFmtId="200" fontId="4" fillId="6" borderId="0" xfId="0" applyNumberFormat="1" applyFont="1" applyFill="1" applyBorder="1"/>
    <x:xf numFmtId="200" fontId="6" fillId="7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6" borderId="0" xfId="0" applyNumberFormat="1" applyFont="1" applyFill="1" applyBorder="1"/>
    <x:xf numFmtId="201" fontId="7" fillId="6" borderId="0" xfId="0" applyNumberFormat="1" applyFont="1" applyFill="1" applyBorder="1"/>
    <x:xf numFmtId="200" fontId="7" fillId="6" borderId="0" xfId="0" applyNumberFormat="1" applyFont="1" applyFill="1" applyBorder="1"/>
    <x:xf numFmtId="202" fontId="4" fillId="0" borderId="0" xfId="0" applyNumberFormat="1" applyFont="1" applyFill="1" applyBorder="1"/>
    <x:xf numFmtId="202" fontId="4" fillId="6" borderId="0" xfId="0" applyNumberFormat="1" applyFont="1" applyFill="1" applyBorder="1"/>
    <x:xf numFmtId="0" fontId="7" fillId="6" borderId="0" xfId="0" applyNumberFormat="1" applyFont="1" applyFill="1" applyBorder="1"/>
    <x:xf numFmtId="202" fontId="7" fillId="6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horizontal="center"/>
    </x:xf>
    <x:xf numFmtId="202" fontId="4" fillId="0" borderId="10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/>
    <x:xf numFmtId="0" fontId="4" fillId="0" borderId="7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 applyAlignment="1">
      <x:alignment horizontal="center"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horizontal="center" wrapText="1"/>
    </x:xf>
    <x:xf numFmtId="0" fontId="4" fillId="0" borderId="10" xfId="0" applyNumberFormat="1" applyFont="1" applyFill="1" applyBorder="1" applyAlignment="1">
      <x:alignment horizontal="center" wrapText="1"/>
    </x:xf>
    <x:xf numFmtId="202" fontId="4" fillId="0" borderId="10" xfId="0" applyNumberFormat="1" applyFont="1" applyFill="1" applyBorder="1" applyAlignment="1">
      <x:alignment horizontal="center" wrapText="1"/>
    </x:xf>
    <x:xf numFmtId="0" fontId="4" fillId="0" borderId="1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202" fontId="4" fillId="5" borderId="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wrapText="1"/>
    </x:xf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1" fontId="4" fillId="0" borderId="8" xfId="0" applyNumberFormat="1" applyFont="1" applyFill="1" applyBorder="1"/>
    <x:xf numFmtId="201" fontId="4" fillId="0" borderId="10" xfId="0" applyNumberFormat="1" applyFont="1" applyFill="1" applyBorder="1"/>
    <x:xf numFmtId="201" fontId="4" fillId="0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0" fontId="4" fillId="0" borderId="10" xfId="0" applyNumberFormat="1" applyFont="1" applyFill="1" applyBorder="1" applyAlignment="1">
      <x:alignment horizontal="center"/>
    </x:xf>
    <x:xf numFmtId="201" fontId="4" fillId="0" borderId="10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horizontal="center"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200" fontId="4" fillId="0" borderId="10" xfId="0" applyNumberFormat="1" applyFont="1" applyFill="1" applyBorder="1" applyAlignment="1">
      <x:alignment horizontal="center" wrapText="1"/>
    </x:xf>
    <x:xf numFmtId="201" fontId="4" fillId="0" borderId="1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1" fontId="4" fillId="8" borderId="0" xfId="0" applyNumberFormat="1" applyFont="1" applyFill="1" applyBorder="1"/>
    <x:xf numFmtId="201" fontId="4" fillId="8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/>
    </x:xf>
    <x:xf numFmtId="201" fontId="4" fillId="8" borderId="0" xfId="0" applyNumberFormat="1" applyFont="1" applyFill="1" applyBorder="1" applyAlignment="1">
      <x:alignment horizontal="center" wrapText="1"/>
    </x:xf>
    <x:xf numFmtId="201" fontId="4" fillId="5" borderId="0" xfId="0" applyNumberFormat="1" applyFont="1" applyFill="1" applyBorder="1" applyAlignment="1">
      <x:alignment horizontal="center" wrapText="1"/>
    </x:xf>
    <x:xf numFmtId="0" fontId="4" fillId="0" borderId="12" xfId="0" applyNumberFormat="1" applyFont="1" applyFill="1" applyBorder="1" applyAlignment="1">
      <x:alignment horizontal="center" wrapText="1"/>
    </x:xf>
    <x:xf numFmtId="0" fontId="4" fillId="0" borderId="13" xfId="0" applyNumberFormat="1" applyFont="1" applyFill="1" applyBorder="1" applyAlignment="1">
      <x:alignment horizontal="center"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  <x:xf numFmtId="0" fontId="5" fillId="9" borderId="0" xfId="0" applyNumberFormat="1" applyFont="1" applyFill="1" applyBorder="1"/>
    <x:xf numFmtId="0" fontId="4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15" xfId="0" applyNumberFormat="1" applyFont="1" applyFill="1" applyBorder="1"/>
    <x:xf numFmtId="0" fontId="10" fillId="10" borderId="16" xfId="0" applyNumberFormat="1" applyFont="1" applyFill="1" applyBorder="1"/>
    <x:xf numFmtId="0" fontId="10" fillId="10" borderId="17" xfId="0" applyNumberFormat="1" applyFont="1" applyFill="1" applyBorder="1"/>
    <x:xf numFmtId="200" fontId="10" fillId="10" borderId="17" xfId="0" applyNumberFormat="1" applyFont="1" applyFill="1" applyBorder="1"/>
    <x:xf numFmtId="200" fontId="4" fillId="0" borderId="8" xfId="0" applyNumberFormat="1" applyFont="1" applyFill="1" applyBorder="1"/>
    <x:xf numFmtId="0" fontId="10" fillId="10" borderId="18" xfId="0" applyNumberFormat="1" applyFont="1" applyFill="1" applyBorder="1"/>
    <x:xf numFmtId="0" fontId="10" fillId="10" borderId="19" xfId="0" applyNumberFormat="1" applyFont="1" applyFill="1" applyBorder="1"/>
    <x:xf numFmtId="200" fontId="10" fillId="10" borderId="20" xfId="0" applyNumberFormat="1" applyFont="1" applyFill="1" applyBorder="1"/>
    <x:xf numFmtId="200" fontId="4" fillId="0" borderId="8" xfId="0" applyNumberFormat="1" applyFont="1" applyFill="1" applyBorder="1" applyAlignment="1">
      <x:alignment horizontal="center"/>
    </x:xf>
    <x:xf numFmtId="200" fontId="10" fillId="10" borderId="20" xfId="0" applyNumberFormat="1" applyFont="1" applyFill="1" applyBorder="1" applyAlignment="1">
      <x:alignment horizontal="center"/>
    </x:xf>
  </x:cellXfs>
  <x:cellStyles count="1">
    <x:cellStyle name="Normal" xfId="0"/>
  </x:cellStyles>
  <x:dxfs count="1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i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i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5034a862843cd" /><Relationship Type="http://schemas.openxmlformats.org/officeDocument/2006/relationships/theme" Target="/xl/theme/theme1.xml" Id="R31f406db977448e2" /><Relationship Type="http://schemas.openxmlformats.org/officeDocument/2006/relationships/sharedStrings" Target="/xl/sharedStrings.xml" Id="R89969da4c4934eef" /><Relationship Type="http://schemas.openxmlformats.org/officeDocument/2006/relationships/worksheet" Target="/xl/worksheets/sheet1.xml" Id="R3929cd0b39934035" /><Relationship Type="http://schemas.openxmlformats.org/officeDocument/2006/relationships/worksheet" Target="/xl/worksheets/sheet2.xml" Id="R6f743adf2da749fe" /><Relationship Type="http://schemas.openxmlformats.org/officeDocument/2006/relationships/worksheet" Target="/xl/worksheets/sheet3.xml" Id="Rd2a490629dad4cb0" /><Relationship Type="http://schemas.openxmlformats.org/officeDocument/2006/relationships/worksheet" Target="/xl/worksheets/sheet4.xml" Id="R478034b928b744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a7cff1fe9d4f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Lesson demand by A Level section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lessons</c:v>
          </c:tx>
          <c:cat>
            <c:strRef>
              <c:f>'Overview'!$A$22:$A$24</c:f>
              <c:strCache>
                <c:ptCount val="0"/>
              </c:strCache>
            </c:strRef>
          </c:cat>
          <c:val>
            <c:numRef>
              <c:f>'Overview'!$B$22:$B$24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Current planned lessons</c:v>
          </c:tx>
          <c:cat>
            <c:strRef>
              <c:f>'Overview'!$A$22:$A$24</c:f>
              <c:strCache>
                <c:ptCount val="0"/>
              </c:strCache>
            </c:strRef>
          </c:cat>
          <c:val>
            <c:numRef>
              <c:f>'Overview'!$C$22:$C$24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a7cff1fe9d4f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topicSummaryTable" displayName="SubtopicSummaryTable" ref="A6:L19" headerRowCount="1" totalsRowCount="0" totalsRowShown="0">
  <x:tableColumns count="12">
    <x:tableColumn id="1" name="Domain"/>
    <x:tableColumn id="2" name="Section"/>
    <x:tableColumn id="3" name="Subtopic"/>
    <x:tableColumn id="4" name="Title"/>
    <x:tableColumn id="5" name="Statements"/>
    <x:tableColumn id="6" name="Baseline lessons"/>
    <x:tableColumn id="7" name="Planned statements"/>
    <x:tableColumn id="8" name="Planned lessons"/>
    <x:tableColumn id="9" name="Baseline cumulative"/>
    <x:tableColumn id="10" name="Current-plan cumulative"/>
    <x:tableColumn id="11" name="Capacity 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edSyllabusTable" displayName="DetailedSyllabusTable" ref="A7:P65" headerRowCount="1" totalsRowCount="0" totalsRowShown="0">
  <x:tableColumns count="16">
    <x:tableColumn id="1" name="Domain"/>
    <x:tableColumn id="2" name="Section"/>
    <x:tableColumn id="3" name="Subtopic"/>
    <x:tableColumn id="4" name="Subtopic title"/>
    <x:tableColumn id="5" name="Syllabus code"/>
    <x:tableColumn id="6" name="Assessable content"/>
    <x:tableColumn id="7" name="Source page"/>
    <x:tableColumn id="8" name="Suggested lessons"/>
    <x:tableColumn id="9" name="Plan to cover?"/>
    <x:tableColumn id="10" name="Your lesson estimate"/>
    <x:tableColumn id="11" name="Planned lessons"/>
    <x:tableColumn id="12" name="Baseline cumulative"/>
    <x:tableColumn id="13" name="Current-plan cumulative"/>
    <x:tableColumn id="14" name="Fits current capacity?"/>
    <x:tableColumn id="15" name="Teaching status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d37c1b233d40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87ec63ca7c4d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e275671084d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8" hidden="0" customWidth="1"/>
    <x:col min="4" max="4" width="27" hidden="0" customWidth="1"/>
    <x:col min="5" max="5" width="15" hidden="0" customWidth="1"/>
    <x:col min="6" max="6" width="36" hidden="0" customWidth="1"/>
    <x:col min="7" max="7" width="26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3" t="str">
        <x:v>A Level Macroeconomics &amp; International Economics Coverage Planner</x:v>
      </x:c>
      <x:c r="B1" s="3" t="str">
        <x:v>A Level Macroeconomics &amp; International Economics Coverage Planner</x:v>
      </x:c>
      <x:c r="C1" s="3" t="str">
        <x:v>A Level Macroeconomics &amp; International Economics Coverage Planner</x:v>
      </x:c>
      <x:c r="D1" s="3" t="str">
        <x:v>A Level Macroeconomics &amp; International Economics Coverage Planner</x:v>
      </x:c>
      <x:c r="E1" s="3" t="str">
        <x:v>A Level Macroeconomics &amp; International Economics Coverage Planner</x:v>
      </x:c>
      <x:c r="F1" s="3" t="str">
        <x:v>A Level Macroeconomics &amp; International Economics Coverage Planner</x:v>
      </x:c>
      <x:c r="G1" s="3" t="str">
        <x:v>A Level Macroeconomics &amp; International Economics Coverage Planner</x:v>
      </x:c>
      <x:c r="H1" s="3" t="str">
        <x:v>A Level Macroeconomics &amp; International Economics Coverage Planner</x:v>
      </x:c>
      <x:c r="I1" s="3" t="str">
        <x:v>A Level Macroeconomics &amp; International Economics Coverage Planner</x:v>
      </x:c>
      <x:c r="J1" s="3" t="str">
        <x:v>A Level Macroeconomics &amp; International Economics Coverage Planner</x:v>
      </x:c>
      <x:c r="K1" s="3" t="str">
        <x:v>A Level Macroeconomics &amp; International Economics Coverage Planner</x:v>
      </x:c>
      <x:c r="L1" s="3" t="str">
        <x:v>A Level Macroeconomics &amp; International Economics Coverage Planner</x:v>
      </x:c>
      <x:c r="M1" s="3" t="str">
        <x:v>A Level Macroeconomics &amp; International Economics Coverage Planner</x:v>
      </x:c>
      <x:c r="N1" s="3" t="str">
        <x:v>A Level Macroeconomics &amp; International Economics Coverage Planner</x:v>
      </x:c>
    </x:row>
    <x:row r="2" ht="28" customHeight="1">
      <x:c r="A2" s="3" t="str">
        <x:v>A Level Macroeconomics &amp; International Economics Coverage Planner</x:v>
      </x:c>
      <x:c r="B2" s="3" t="str">
        <x:v>A Level Macroeconomics &amp; International Economics Coverage Planner</x:v>
      </x:c>
      <x:c r="C2" s="3" t="str">
        <x:v>A Level Macroeconomics &amp; International Economics Coverage Planner</x:v>
      </x:c>
      <x:c r="D2" s="3" t="str">
        <x:v>A Level Macroeconomics &amp; International Economics Coverage Planner</x:v>
      </x:c>
      <x:c r="E2" s="3" t="str">
        <x:v>A Level Macroeconomics &amp; International Economics Coverage Planner</x:v>
      </x:c>
      <x:c r="F2" s="3" t="str">
        <x:v>A Level Macroeconomics &amp; International Economics Coverage Planner</x:v>
      </x:c>
      <x:c r="G2" s="3" t="str">
        <x:v>A Level Macroeconomics &amp; International Economics Coverage Planner</x:v>
      </x:c>
      <x:c r="H2" s="3" t="str">
        <x:v>A Level Macroeconomics &amp; International Economics Coverage Planner</x:v>
      </x:c>
      <x:c r="I2" s="3" t="str">
        <x:v>A Level Macroeconomics &amp; International Economics Coverage Planner</x:v>
      </x:c>
      <x:c r="J2" s="3" t="str">
        <x:v>A Level Macroeconomics &amp; International Economics Coverage Planner</x:v>
      </x:c>
      <x:c r="K2" s="3" t="str">
        <x:v>A Level Macroeconomics &amp; International Economics Coverage Planner</x:v>
      </x:c>
      <x:c r="L2" s="3" t="str">
        <x:v>A Level Macroeconomics &amp; International Economics Coverage Planner</x:v>
      </x:c>
      <x:c r="M2" s="3" t="str">
        <x:v>A Level Macroeconomics &amp; International Economics Coverage Planner</x:v>
      </x:c>
      <x:c r="N2" s="3" t="str">
        <x:v>A Level Macroeconomics &amp; International Economics Coverage Planner</x:v>
      </x:c>
    </x:row>
    <x:row r="3" ht="30" customHeight="1">
      <x:c r="A3" s="9" t="str">
        <x:v>Cambridge International AS &amp; A Level Economics 9708 (2026-2028) - A Level-only content from sections 9, 10 and 11</x:v>
      </x:c>
      <x:c r="B3" s="9" t="str">
        <x:v>Cambridge International AS &amp; A Level Economics 9708 (2026-2028) - A Level-only content from sections 9, 10 and 11</x:v>
      </x:c>
      <x:c r="C3" s="9" t="str">
        <x:v>Cambridge International AS &amp; A Level Economics 9708 (2026-2028) - A Level-only content from sections 9, 10 and 11</x:v>
      </x:c>
      <x:c r="D3" s="9" t="str">
        <x:v>Cambridge International AS &amp; A Level Economics 9708 (2026-2028) - A Level-only content from sections 9, 10 and 11</x:v>
      </x:c>
      <x:c r="E3" s="9" t="str">
        <x:v>Cambridge International AS &amp; A Level Economics 9708 (2026-2028) - A Level-only content from sections 9, 10 and 11</x:v>
      </x:c>
      <x:c r="F3" s="9" t="str">
        <x:v>Cambridge International AS &amp; A Level Economics 9708 (2026-2028) - A Level-only content from sections 9, 10 and 11</x:v>
      </x:c>
      <x:c r="G3" s="9" t="str">
        <x:v>Cambridge International AS &amp; A Level Economics 9708 (2026-2028) - A Level-only content from sections 9, 10 and 11</x:v>
      </x:c>
      <x:c r="H3" s="9" t="str">
        <x:v>Cambridge International AS &amp; A Level Economics 9708 (2026-2028) - A Level-only content from sections 9, 10 and 11</x:v>
      </x:c>
      <x:c r="I3" s="9" t="str">
        <x:v>Cambridge International AS &amp; A Level Economics 9708 (2026-2028) - A Level-only content from sections 9, 10 and 11</x:v>
      </x:c>
      <x:c r="J3" s="9" t="str">
        <x:v>Cambridge International AS &amp; A Level Economics 9708 (2026-2028) - A Level-only content from sections 9, 10 and 11</x:v>
      </x:c>
      <x:c r="K3" s="9" t="str">
        <x:v>Cambridge International AS &amp; A Level Economics 9708 (2026-2028) - A Level-only content from sections 9, 10 and 11</x:v>
      </x:c>
      <x:c r="L3" s="9" t="str">
        <x:v>Cambridge International AS &amp; A Level Economics 9708 (2026-2028) - A Level-only content from sections 9, 10 and 11</x:v>
      </x:c>
      <x:c r="M3" s="9" t="str">
        <x:v>Cambridge International AS &amp; A Level Economics 9708 (2026-2028) - A Level-only content from sections 9, 10 and 11</x:v>
      </x:c>
      <x:c r="N3" s="9" t="str">
        <x:v>Cambridge International AS &amp; A Level Economics 9708 (2026-2028) - A Level-only content from sections 9, 10 and 11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>
      <x:c r="A5" s="12" t="str">
        <x:v>Planning assumptions</x:v>
      </x:c>
      <x:c r="B5" s="12" t="str">
        <x:v>Planning assumptions</x:v>
      </x:c>
      <x:c r="C5" s="10"/>
      <x:c r="D5" s="12" t="str">
        <x:v>Current-plan outlook</x:v>
      </x:c>
      <x:c r="E5" s="12" t="str">
        <x:v>Current-plan outlook</x:v>
      </x:c>
      <x:c r="F5" s="10"/>
      <x:c r="G5" s="12" t="str">
        <x:v>Syllabus scope</x:v>
      </x:c>
      <x:c r="H5" s="12" t="str">
        <x:v>Syllabus scope</x:v>
      </x:c>
      <x:c r="I5" s="10"/>
      <x:c r="J5" s="10"/>
      <x:c r="K5" s="10"/>
      <x:c r="L5" s="10"/>
      <x:c r="M5" s="10"/>
      <x:c r="N5" s="10"/>
    </x:row>
    <x:row r="6">
      <x:c r="A6" s="10" t="str">
        <x:v>Weeks available</x:v>
      </x:c>
      <x:c r="B6" s="17" t="n">
        <x:v>16</x:v>
      </x:c>
      <x:c r="C6" s="10"/>
      <x:c r="D6" s="10" t="str">
        <x:v>Baseline syllabus demand</x:v>
      </x:c>
      <x:c r="E6" s="23" t="n">
        <x:f>SUM('Detailed Checklist'!$H$8:$H$65)</x:f>
        <x:v>42</x:v>
      </x:c>
      <x:c r="F6" s="10"/>
      <x:c r="G6" s="10" t="str">
        <x:v>A Level sections</x:v>
      </x:c>
      <x:c r="H6" s="27" t="n">
        <x:v>3</x:v>
      </x:c>
      <x:c r="I6" s="10"/>
      <x:c r="J6" s="10"/>
      <x:c r="K6" s="10"/>
      <x:c r="L6" s="10"/>
      <x:c r="M6" s="10"/>
      <x:c r="N6" s="10"/>
    </x:row>
    <x:row r="7">
      <x:c r="A7" s="10" t="str">
        <x:v>Lessons per week</x:v>
      </x:c>
      <x:c r="B7" s="17" t="n">
        <x:v>2</x:v>
      </x:c>
      <x:c r="C7" s="10"/>
      <x:c r="D7" s="10" t="str">
        <x:v>Current planned demand</x:v>
      </x:c>
      <x:c r="E7" s="23" t="n">
        <x:f>SUM('Detailed Checklist'!$K$8:$K$65)</x:f>
        <x:v>42</x:v>
      </x:c>
      <x:c r="F7" s="10"/>
      <x:c r="G7" s="10" t="str">
        <x:v>Subtopics</x:v>
      </x:c>
      <x:c r="H7" s="27" t="n">
        <x:v>13</x:v>
      </x:c>
      <x:c r="I7" s="10"/>
      <x:c r="J7" s="10"/>
      <x:c r="K7" s="10"/>
      <x:c r="L7" s="10"/>
      <x:c r="M7" s="10"/>
      <x:c r="N7" s="10"/>
    </x:row>
    <x:row r="8">
      <x:c r="A8" s="10" t="str">
        <x:v>Total lesson slots</x:v>
      </x:c>
      <x:c r="B8" s="18" t="n">
        <x:f>B6*B7</x:f>
        <x:v>32</x:v>
      </x:c>
      <x:c r="C8" s="10"/>
      <x:c r="D8" s="10" t="str">
        <x:v>Capacity gap</x:v>
      </x:c>
      <x:c r="E8" s="23" t="n">
        <x:f>B10-E7</x:f>
        <x:v>-14</x:v>
      </x:c>
      <x:c r="F8" s="10"/>
      <x:c r="G8" s="10" t="str">
        <x:v>Detailed statements</x:v>
      </x:c>
      <x:c r="H8" s="27" t="n">
        <x:v>58</x:v>
      </x:c>
      <x:c r="I8" s="10"/>
      <x:c r="J8" s="10"/>
      <x:c r="K8" s="10"/>
      <x:c r="L8" s="10"/>
      <x:c r="M8" s="10"/>
      <x:c r="N8" s="10"/>
    </x:row>
    <x:row r="9">
      <x:c r="A9" s="10" t="str">
        <x:v>Reserve: review / assessment</x:v>
      </x:c>
      <x:c r="B9" s="17" t="n">
        <x:v>4</x:v>
      </x:c>
      <x:c r="C9" s="10"/>
      <x:c r="D9" s="10" t="str">
        <x:v>Detailed statements fitting</x:v>
      </x:c>
      <x:c r="E9" s="24" t="n">
        <x:f>COUNTIF('Detailed Checklist'!$N$8:$N$65,"Fits")</x:f>
        <x:v>41</x:v>
      </x:c>
      <x:c r="F9" s="10"/>
      <x:c r="G9" s="10" t="str">
        <x:v>Current capacity coverage</x:v>
      </x:c>
      <x:c r="H9" s="28" t="n">
        <x:f>IFERROR(E9/H8,0)</x:f>
        <x:v>0.7068965517241379</x:v>
      </x:c>
      <x:c r="I9" s="10"/>
      <x:c r="J9" s="10"/>
      <x:c r="K9" s="10"/>
      <x:c r="L9" s="10"/>
      <x:c r="M9" s="10"/>
      <x:c r="N9" s="10"/>
    </x:row>
    <x:row r="10">
      <x:c r="A10" s="10" t="str">
        <x:v>Content lesson capacity</x:v>
      </x:c>
      <x:c r="B10" s="19" t="n">
        <x:f>MAX(0,B8-B9)</x:f>
        <x:v>28</x:v>
      </x:c>
      <x:c r="C10" s="10"/>
      <x:c r="D10" s="10" t="str">
        <x:v>Full subtopics fitting</x:v>
      </x:c>
      <x:c r="E10" s="24" t="n">
        <x:f>COUNTIF('Subtopic Summary'!$K$7:$K$19,"Fits")</x:f>
        <x:v>9</x:v>
      </x:c>
      <x:c r="F10" s="10"/>
      <x:c r="G10" s="10" t="str">
        <x:v>Planning signal</x:v>
      </x:c>
      <x:c r="H10" s="27" t="str">
        <x:f>IF(E8&gt;=0,"Within capacity","Over capacity")</x:f>
        <x:v>Over capacity</x:v>
      </x:c>
      <x:c r="I10" s="10"/>
      <x:c r="J10" s="10"/>
      <x:c r="K10" s="10"/>
      <x:c r="L10" s="10"/>
      <x:c r="M10" s="10"/>
      <x:c r="N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 ht="24" customHeight="1">
      <x:c r="A13" s="30" t="str">
        <x:v>Scenario comparison - baseline syllabus order</x:v>
      </x:c>
      <x:c r="B13" s="30" t="str">
        <x:v>Scenario comparison - baseline syllabus order</x:v>
      </x:c>
      <x:c r="C13" s="30" t="str">
        <x:v>Scenario comparison - baseline syllabus order</x:v>
      </x:c>
      <x:c r="D13" s="30" t="str">
        <x:v>Scenario comparison - baseline syllabus order</x:v>
      </x:c>
      <x:c r="E13" s="30" t="str">
        <x:v>Scenario comparison - baseline syllabus order</x:v>
      </x:c>
      <x:c r="F13" s="30" t="str">
        <x:v>Scenario comparison - baseline syllabus order</x:v>
      </x:c>
      <x:c r="G13" s="10"/>
      <x:c r="H13" s="10"/>
      <x:c r="I13" s="10"/>
      <x:c r="J13" s="10"/>
      <x:c r="K13" s="10"/>
      <x:c r="L13" s="10"/>
      <x:c r="M13" s="10"/>
      <x:c r="N13" s="10"/>
    </x:row>
    <x:row r="14" ht="32" customHeight="1">
      <x:c r="A14" s="42" t="str">
        <x:v>Reserve lessons</x:v>
      </x:c>
      <x:c r="B14" s="43" t="str">
        <x:v>Content lessons</x:v>
      </x:c>
      <x:c r="C14" s="43" t="str">
        <x:v>Detailed statements fit</x:v>
      </x:c>
      <x:c r="D14" s="43" t="str">
        <x:v>Coverage</x:v>
      </x:c>
      <x:c r="E14" s="43" t="str">
        <x:v>Full subtopics fit</x:v>
      </x:c>
      <x:c r="F14" s="44" t="str">
        <x:v>Interpretation</x:v>
      </x:c>
      <x:c r="G14" s="10"/>
      <x:c r="H14" s="10"/>
      <x:c r="I14" s="10"/>
      <x:c r="J14" s="10"/>
      <x:c r="K14" s="10"/>
      <x:c r="L14" s="10"/>
      <x:c r="M14" s="10"/>
      <x:c r="N14" s="10"/>
    </x:row>
    <x:row r="15" ht="34" customHeight="1">
      <x:c r="A15" s="51" t="n">
        <x:v>0</x:v>
      </x:c>
      <x:c r="B15" s="52" t="n">
        <x:f>$B$8-A15</x:f>
        <x:v>32</x:v>
      </x:c>
      <x:c r="C15" s="52" t="n">
        <x:f>COUNTIF('Detailed Checklist'!$L$8:$L$65,"&lt;="&amp;B15)</x:f>
        <x:v>45</x:v>
      </x:c>
      <x:c r="D15" s="53" t="n">
        <x:f>C15/$H$8</x:f>
        <x:v>0.7758620689655172</x:v>
      </x:c>
      <x:c r="E15" s="52" t="n">
        <x:f>COUNTIF('Subtopic Summary'!$I$7:$I$19,"&lt;="&amp;B15)</x:f>
        <x:v>10</x:v>
      </x:c>
      <x:c r="F15" s="54" t="str">
        <x:v>Content-only sprint; no separate consolidation</x:v>
      </x:c>
      <x:c r="G15" s="10"/>
      <x:c r="H15" s="10"/>
      <x:c r="I15" s="10"/>
      <x:c r="J15" s="10"/>
      <x:c r="K15" s="10"/>
      <x:c r="L15" s="10"/>
      <x:c r="M15" s="10"/>
      <x:c r="N15" s="10"/>
    </x:row>
    <x:row r="16" ht="34" customHeight="1">
      <x:c r="A16" s="51" t="n">
        <x:v>2</x:v>
      </x:c>
      <x:c r="B16" s="52" t="n">
        <x:f>$B$8-A16</x:f>
        <x:v>30</x:v>
      </x:c>
      <x:c r="C16" s="52" t="n">
        <x:f>COUNTIF('Detailed Checklist'!$L$8:$L$65,"&lt;="&amp;B16)</x:f>
        <x:v>43</x:v>
      </x:c>
      <x:c r="D16" s="53" t="n">
        <x:f>C16/$H$8</x:f>
        <x:v>0.7413793103448276</x:v>
      </x:c>
      <x:c r="E16" s="52" t="n">
        <x:f>COUNTIF('Subtopic Summary'!$I$7:$I$19,"&lt;="&amp;B16)</x:f>
        <x:v>9</x:v>
      </x:c>
      <x:c r="F16" s="54" t="str">
        <x:v>Two lessons for review or assessment</x:v>
      </x:c>
      <x:c r="G16" s="10"/>
      <x:c r="H16" s="10"/>
      <x:c r="I16" s="10"/>
      <x:c r="J16" s="10"/>
      <x:c r="K16" s="10"/>
      <x:c r="L16" s="10"/>
      <x:c r="M16" s="10"/>
      <x:c r="N16" s="10"/>
    </x:row>
    <x:row r="17" ht="34" customHeight="1">
      <x:c r="A17" s="59" t="n">
        <x:v>4</x:v>
      </x:c>
      <x:c r="B17" s="60" t="n">
        <x:f>$B$8-A17</x:f>
        <x:v>28</x:v>
      </x:c>
      <x:c r="C17" s="60" t="n">
        <x:f>COUNTIF('Detailed Checklist'!$L$8:$L$65,"&lt;="&amp;B17)</x:f>
        <x:v>41</x:v>
      </x:c>
      <x:c r="D17" s="61" t="n">
        <x:f>C17/$H$8</x:f>
        <x:v>0.7068965517241379</x:v>
      </x:c>
      <x:c r="E17" s="60" t="n">
        <x:f>COUNTIF('Subtopic Summary'!$I$7:$I$19,"&lt;="&amp;B17)</x:f>
        <x:v>9</x:v>
      </x:c>
      <x:c r="F17" s="62" t="str">
        <x:v>Balanced default: four lessons protected</x:v>
      </x:c>
      <x:c r="G17" s="10"/>
      <x:c r="H17" s="10"/>
      <x:c r="I17" s="10"/>
      <x:c r="J17" s="10"/>
      <x:c r="K17" s="10"/>
      <x:c r="L17" s="10"/>
      <x:c r="M17" s="10"/>
      <x:c r="N17" s="10"/>
    </x:row>
    <x:row r="18" ht="34" customHeight="1">
      <x:c r="A18" s="55" t="n">
        <x:v>6</x:v>
      </x:c>
      <x:c r="B18" s="56" t="n">
        <x:f>$B$8-A18</x:f>
        <x:v>26</x:v>
      </x:c>
      <x:c r="C18" s="56" t="n">
        <x:f>COUNTIF('Detailed Checklist'!$L$8:$L$65,"&lt;="&amp;B18)</x:f>
        <x:v>37</x:v>
      </x:c>
      <x:c r="D18" s="57" t="n">
        <x:f>C18/$H$8</x:f>
        <x:v>0.6379310344827587</x:v>
      </x:c>
      <x:c r="E18" s="56" t="n">
        <x:f>COUNTIF('Subtopic Summary'!$I$7:$I$19,"&lt;="&amp;B18)</x:f>
        <x:v>8</x:v>
      </x:c>
      <x:c r="F18" s="58" t="str">
        <x:v>More consolidation and disruption buffer</x:v>
      </x:c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A21" s="42" t="str">
        <x:v>A Level section</x:v>
      </x:c>
      <x:c r="B21" s="43" t="str">
        <x:v>Baseline lessons</x:v>
      </x:c>
      <x:c r="C21" s="44" t="str">
        <x:v>Current planned lessons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63" t="str">
        <x:v>9 The macroeconomy</x:v>
      </x:c>
      <x:c r="B22" s="20" t="n">
        <x:f>SUMIF('Detailed Checklist'!$B$8:$B$65,9,'Detailed Checklist'!$H$8:$H$65)</x:f>
        <x:v>16</x:v>
      </x:c>
      <x:c r="C22" s="66" t="n">
        <x:f>SUMIF('Detailed Checklist'!$B$8:$B$65,9,'Detailed Checklist'!$K$8:$K$65)</x:f>
        <x:v>16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63" t="str">
        <x:v>10 Government macro intervention</x:v>
      </x:c>
      <x:c r="B23" s="20" t="n">
        <x:f>SUMIF('Detailed Checklist'!$B$8:$B$65,10,'Detailed Checklist'!$H$8:$H$65)</x:f>
        <x:v>7</x:v>
      </x:c>
      <x:c r="C23" s="66" t="n">
        <x:f>SUMIF('Detailed Checklist'!$B$8:$B$65,10,'Detailed Checklist'!$K$8:$K$65)</x:f>
        <x:v>7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A24" s="64" t="str">
        <x:v>11 International economic issues</x:v>
      </x:c>
      <x:c r="B24" s="67" t="n">
        <x:f>SUMIF('Detailed Checklist'!$B$8:$B$65,11,'Detailed Checklist'!$H$8:$H$65)</x:f>
        <x:v>19</x:v>
      </x:c>
      <x:c r="C24" s="68" t="n">
        <x:f>SUMIF('Detailed Checklist'!$B$8:$B$65,11,'Detailed Checklist'!$K$8:$K$65)</x:f>
        <x:v>19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>
      <x:c r="A27" s="12" t="str">
        <x:v>How to use the planner</x:v>
      </x:c>
      <x:c r="B27" s="12" t="str">
        <x:v>How to use the planner</x:v>
      </x:c>
      <x:c r="C27" s="12" t="str">
        <x:v>How to use the planner</x:v>
      </x:c>
      <x:c r="D27" s="12" t="str">
        <x:v>How to use the planner</x:v>
      </x:c>
      <x:c r="E27" s="12" t="str">
        <x:v>How to use the planner</x:v>
      </x:c>
      <x:c r="F27" s="12" t="str">
        <x:v>How to use the planner</x:v>
      </x:c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86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B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C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D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E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F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G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H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I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J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K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L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M28" s="87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N28" s="88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</x:row>
    <x:row r="29" ht="28" customHeight="1">
      <x:c r="A29" s="89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B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C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D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E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F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G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H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I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J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K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L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M29" s="90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N29" s="91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</x:row>
    <x:row r="30" ht="28" customHeight="1">
      <x:c r="A30" s="92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B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C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D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E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F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G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H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I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J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K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L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M30" s="93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  <x:c r="N30" s="94" t="str">
        <x:v>Edit the blue assumption cells, then use Detailed Checklist to change Plan to cover? and Your lesson estimate. Amber cells are suggested planning estimates, not Cambridge-prescribed teaching hours. The 32-Lesson Model is an aggressive content-only sequence; the default reserve of four lessons gives a more realistic buffer for review, assessment and disruption.</x:v>
      </x:c>
    </x:row>
    <x:row r="31">
      <x:c r="A31" s="96" t="str">
        <x:v>Source: AS &amp; A Economics Syllabus 2026-2028.pdf, A Level subject content sections 9-11, pages 29-34.</x:v>
      </x:c>
      <x:c r="B31" s="96" t="str">
        <x:v>Source: AS &amp; A Economics Syllabus 2026-2028.pdf, A Level subject content sections 9-11, pages 29-34.</x:v>
      </x:c>
      <x:c r="C31" s="96" t="str">
        <x:v>Source: AS &amp; A Economics Syllabus 2026-2028.pdf, A Level subject content sections 9-11, pages 29-34.</x:v>
      </x:c>
      <x:c r="D31" s="96" t="str">
        <x:v>Source: AS &amp; A Economics Syllabus 2026-2028.pdf, A Level subject content sections 9-11, pages 29-34.</x:v>
      </x:c>
      <x:c r="E31" s="96" t="str">
        <x:v>Source: AS &amp; A Economics Syllabus 2026-2028.pdf, A Level subject content sections 9-11, pages 29-34.</x:v>
      </x:c>
      <x:c r="F31" s="96" t="str">
        <x:v>Source: AS &amp; A Economics Syllabus 2026-2028.pdf, A Level subject content sections 9-11, pages 29-34.</x:v>
      </x:c>
      <x:c r="G31" s="96" t="str">
        <x:v>Source: AS &amp; A Economics Syllabus 2026-2028.pdf, A Level subject content sections 9-11, pages 29-34.</x:v>
      </x:c>
      <x:c r="H31" s="96" t="str">
        <x:v>Source: AS &amp; A Economics Syllabus 2026-2028.pdf, A Level subject content sections 9-11, pages 29-34.</x:v>
      </x:c>
      <x:c r="I31" s="96" t="str">
        <x:v>Source: AS &amp; A Economics Syllabus 2026-2028.pdf, A Level subject content sections 9-11, pages 29-34.</x:v>
      </x:c>
      <x:c r="J31" s="96" t="str">
        <x:v>Source: AS &amp; A Economics Syllabus 2026-2028.pdf, A Level subject content sections 9-11, pages 29-34.</x:v>
      </x:c>
      <x:c r="K31" s="96" t="str">
        <x:v>Source: AS &amp; A Economics Syllabus 2026-2028.pdf, A Level subject content sections 9-11, pages 29-34.</x:v>
      </x:c>
      <x:c r="L31" s="96" t="str">
        <x:v>Source: AS &amp; A Economics Syllabus 2026-2028.pdf, A Level subject content sections 9-11, pages 29-34.</x:v>
      </x:c>
      <x:c r="M31" s="96" t="str">
        <x:v>Source: AS &amp; A Economics Syllabus 2026-2028.pdf, A Level subject content sections 9-11, pages 29-34.</x:v>
      </x:c>
      <x:c r="N31" s="96" t="str">
        <x:v>Source: AS &amp; A Economics Syllabus 2026-2028.pdf, A Level subject content sections 9-11, pages 29-34.</x:v>
      </x:c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</x:sheetData>
  <x:mergeCells>
    <x:mergeCell ref="A1:N2"/>
    <x:mergeCell ref="A3:N3"/>
    <x:mergeCell ref="A5:B5"/>
    <x:mergeCell ref="D5:E5"/>
    <x:mergeCell ref="G5:H5"/>
    <x:mergeCell ref="A13:F13"/>
    <x:mergeCell ref="A27:F27"/>
    <x:mergeCell ref="A28:N30"/>
    <x:mergeCell ref="A31:N31"/>
  </x:mergeCells>
  <x:conditionalFormatting sqref="E8:E8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H10:H10">
    <x:cfRule type="containsText" dxfId="2" priority="3" operator="containsText" text="Within"/>
    <x:cfRule type="containsText" dxfId="3" priority="4" operator="containsText" text="Over"/>
  </x:conditionalFormatting>
  <x:dataValidations count="2">
    <x:dataValidation type="whole" operator="between" sqref="B6:B7">
      <x:formula1>1</x:formula1>
      <x:formula2>52</x:formula2>
    </x:dataValidation>
    <x:dataValidation type="whole" operator="between" sqref="B9">
      <x:formula1>0</x:formula1>
      <x:formula2>32</x:formula2>
    </x:dataValidation>
  </x:dataValidations>
  <x:pageMargins left="0.7" right="0.7" top="0.75" bottom="0.75" header="0.3" footer="0.3"/>
  <x:drawing xmlns:r="http://schemas.openxmlformats.org/officeDocument/2006/relationships" r:id="Re0d37c1b233d40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" hidden="0" customWidth="1"/>
    <x:col min="3" max="3" width="11" hidden="0" customWidth="1"/>
    <x:col min="4" max="4" width="4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8" hidden="0" customWidth="1"/>
  </x:cols>
  <x:sheetData>
    <x:row r="1" ht="28" customHeight="1">
      <x:c r="A1" s="3" t="str">
        <x:v>Subtopic Summary</x:v>
      </x:c>
      <x:c r="B1" s="3" t="str">
        <x:v>Subtopic Summary</x:v>
      </x:c>
      <x:c r="C1" s="3" t="str">
        <x:v>Subtopic Summary</x:v>
      </x:c>
      <x:c r="D1" s="3" t="str">
        <x:v>Subtopic Summary</x:v>
      </x:c>
      <x:c r="E1" s="3" t="str">
        <x:v>Subtopic Summary</x:v>
      </x:c>
      <x:c r="F1" s="3" t="str">
        <x:v>Subtopic Summary</x:v>
      </x:c>
      <x:c r="G1" s="3" t="str">
        <x:v>Subtopic Summary</x:v>
      </x:c>
      <x:c r="H1" s="3" t="str">
        <x:v>Subtopic Summary</x:v>
      </x:c>
      <x:c r="I1" s="3" t="str">
        <x:v>Subtopic Summary</x:v>
      </x:c>
      <x:c r="J1" s="3" t="str">
        <x:v>Subtopic Summary</x:v>
      </x:c>
      <x:c r="K1" s="3" t="str">
        <x:v>Subtopic Summary</x:v>
      </x:c>
      <x:c r="L1" s="3" t="str">
        <x:v>Subtopic Summary</x:v>
      </x:c>
    </x:row>
    <x:row r="2" ht="28" customHeight="1">
      <x:c r="A2" s="3" t="str">
        <x:v>Subtopic Summary</x:v>
      </x:c>
      <x:c r="B2" s="3" t="str">
        <x:v>Subtopic Summary</x:v>
      </x:c>
      <x:c r="C2" s="3" t="str">
        <x:v>Subtopic Summary</x:v>
      </x:c>
      <x:c r="D2" s="3" t="str">
        <x:v>Subtopic Summary</x:v>
      </x:c>
      <x:c r="E2" s="3" t="str">
        <x:v>Subtopic Summary</x:v>
      </x:c>
      <x:c r="F2" s="3" t="str">
        <x:v>Subtopic Summary</x:v>
      </x:c>
      <x:c r="G2" s="3" t="str">
        <x:v>Subtopic Summary</x:v>
      </x:c>
      <x:c r="H2" s="3" t="str">
        <x:v>Subtopic Summary</x:v>
      </x:c>
      <x:c r="I2" s="3" t="str">
        <x:v>Subtopic Summary</x:v>
      </x:c>
      <x:c r="J2" s="3" t="str">
        <x:v>Subtopic Summary</x:v>
      </x:c>
      <x:c r="K2" s="3" t="str">
        <x:v>Subtopic Summary</x:v>
      </x:c>
      <x:c r="L2" s="3" t="str">
        <x:v>Subtopic Summary</x:v>
      </x:c>
    </x:row>
    <x:row r="3" ht="30" customHeight="1">
      <x:c r="A3" s="9" t="str">
        <x:v>Formula-driven roll-up from the 58 detailed syllabus statements; use it to see which complete subtopics fit your current capacity.</x:v>
      </x:c>
      <x:c r="B3" s="9" t="str">
        <x:v>Formula-driven roll-up from the 58 detailed syllabus statements; use it to see which complete subtopics fit your current capacity.</x:v>
      </x:c>
      <x:c r="C3" s="9" t="str">
        <x:v>Formula-driven roll-up from the 58 detailed syllabus statements; use it to see which complete subtopics fit your current capacity.</x:v>
      </x:c>
      <x:c r="D3" s="9" t="str">
        <x:v>Formula-driven roll-up from the 58 detailed syllabus statements; use it to see which complete subtopics fit your current capacity.</x:v>
      </x:c>
      <x:c r="E3" s="9" t="str">
        <x:v>Formula-driven roll-up from the 58 detailed syllabus statements; use it to see which complete subtopics fit your current capacity.</x:v>
      </x:c>
      <x:c r="F3" s="9" t="str">
        <x:v>Formula-driven roll-up from the 58 detailed syllabus statements; use it to see which complete subtopics fit your current capacity.</x:v>
      </x:c>
      <x:c r="G3" s="9" t="str">
        <x:v>Formula-driven roll-up from the 58 detailed syllabus statements; use it to see which complete subtopics fit your current capacity.</x:v>
      </x:c>
      <x:c r="H3" s="9" t="str">
        <x:v>Formula-driven roll-up from the 58 detailed syllabus statements; use it to see which complete subtopics fit your current capacity.</x:v>
      </x:c>
      <x:c r="I3" s="9" t="str">
        <x:v>Formula-driven roll-up from the 58 detailed syllabus statements; use it to see which complete subtopics fit your current capacity.</x:v>
      </x:c>
      <x:c r="J3" s="9" t="str">
        <x:v>Formula-driven roll-up from the 58 detailed syllabus statements; use it to see which complete subtopics fit your current capacity.</x:v>
      </x:c>
      <x:c r="K3" s="9" t="str">
        <x:v>Formula-driven roll-up from the 58 detailed syllabus statements; use it to see which complete subtopics fit your current capacity.</x:v>
      </x:c>
      <x:c r="L3" s="9" t="str">
        <x:v>Formula-driven roll-up from the 58 detailed syllabus statements; use it to see which complete subtopics fit your current capacity.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 ht="32" customHeight="1">
      <x:c r="A5" s="99" t="str">
        <x:v>A subtopic is marked Fits only when every detailed statement is selected and its cumulative planned demand stays within the content capacity on Overview.</x:v>
      </x:c>
      <x:c r="B5" s="99" t="str">
        <x:v>A subtopic is marked Fits only when every detailed statement is selected and its cumulative planned demand stays within the content capacity on Overview.</x:v>
      </x:c>
      <x:c r="C5" s="99" t="str">
        <x:v>A subtopic is marked Fits only when every detailed statement is selected and its cumulative planned demand stays within the content capacity on Overview.</x:v>
      </x:c>
      <x:c r="D5" s="99" t="str">
        <x:v>A subtopic is marked Fits only when every detailed statement is selected and its cumulative planned demand stays within the content capacity on Overview.</x:v>
      </x:c>
      <x:c r="E5" s="99" t="str">
        <x:v>A subtopic is marked Fits only when every detailed statement is selected and its cumulative planned demand stays within the content capacity on Overview.</x:v>
      </x:c>
      <x:c r="F5" s="99" t="str">
        <x:v>A subtopic is marked Fits only when every detailed statement is selected and its cumulative planned demand stays within the content capacity on Overview.</x:v>
      </x:c>
      <x:c r="G5" s="99" t="str">
        <x:v>A subtopic is marked Fits only when every detailed statement is selected and its cumulative planned demand stays within the content capacity on Overview.</x:v>
      </x:c>
      <x:c r="H5" s="99" t="str">
        <x:v>A subtopic is marked Fits only when every detailed statement is selected and its cumulative planned demand stays within the content capacity on Overview.</x:v>
      </x:c>
      <x:c r="I5" s="99" t="str">
        <x:v>A subtopic is marked Fits only when every detailed statement is selected and its cumulative planned demand stays within the content capacity on Overview.</x:v>
      </x:c>
      <x:c r="J5" s="99" t="str">
        <x:v>A subtopic is marked Fits only when every detailed statement is selected and its cumulative planned demand stays within the content capacity on Overview.</x:v>
      </x:c>
      <x:c r="K5" s="99" t="str">
        <x:v>A subtopic is marked Fits only when every detailed statement is selected and its cumulative planned demand stays within the content capacity on Overview.</x:v>
      </x:c>
      <x:c r="L5" s="99" t="str">
        <x:v>A subtopic is marked Fits only when every detailed statement is selected and its cumulative planned demand stays within the content capacity on Overview.</x:v>
      </x:c>
    </x:row>
    <x:row r="6" ht="36" customHeight="1">
      <x:c r="A6" s="42" t="str">
        <x:v>Domain</x:v>
      </x:c>
      <x:c r="B6" s="43" t="str">
        <x:v>Section</x:v>
      </x:c>
      <x:c r="C6" s="43" t="str">
        <x:v>Subtopic</x:v>
      </x:c>
      <x:c r="D6" s="43" t="str">
        <x:v>Title</x:v>
      </x:c>
      <x:c r="E6" s="43" t="str">
        <x:v>Statements</x:v>
      </x:c>
      <x:c r="F6" s="43" t="str">
        <x:v>Baseline lessons</x:v>
      </x:c>
      <x:c r="G6" s="43" t="str">
        <x:v>Planned statements</x:v>
      </x:c>
      <x:c r="H6" s="43" t="str">
        <x:v>Planned lessons</x:v>
      </x:c>
      <x:c r="I6" s="43" t="str">
        <x:v>Baseline cumulative</x:v>
      </x:c>
      <x:c r="J6" s="43" t="str">
        <x:v>Current-plan cumulative</x:v>
      </x:c>
      <x:c r="K6" s="43" t="str">
        <x:v>Capacity status</x:v>
      </x:c>
      <x:c r="L6" s="44" t="str">
        <x:v>Notes</x:v>
      </x:c>
    </x:row>
    <x:row r="7" ht="38" customHeight="1">
      <x:c r="A7" s="104" t="str">
        <x:v>Macroeconomics</x:v>
      </x:c>
      <x:c r="B7" s="52" t="n">
        <x:v>9</x:v>
      </x:c>
      <x:c r="C7" s="52" t="str">
        <x:v>9.1</x:v>
      </x:c>
      <x:c r="D7" s="105" t="str">
        <x:v>The circular flow of income</x:v>
      </x:c>
      <x:c r="E7" s="106" t="n">
        <x:f>COUNTIF('Detailed Checklist'!$C$8:$C$65,C7)</x:f>
        <x:v>3</x:v>
      </x:c>
      <x:c r="F7" s="107" t="n">
        <x:f>SUMIF('Detailed Checklist'!$C$8:$C$65,C7,'Detailed Checklist'!$H$8:$H$65)</x:f>
        <x:v>4</x:v>
      </x:c>
      <x:c r="G7" s="107" t="n">
        <x:f>COUNTIFS('Detailed Checklist'!$C$8:$C$65,C7,'Detailed Checklist'!$I$8:$I$65,"Yes")</x:f>
        <x:v>3</x:v>
      </x:c>
      <x:c r="H7" s="107" t="n">
        <x:f>SUMIF('Detailed Checklist'!$C$8:$C$65,C7,'Detailed Checklist'!$K$8:$K$65)</x:f>
        <x:v>4</x:v>
      </x:c>
      <x:c r="I7" s="107" t="n">
        <x:f>SUM($F$7:F7)</x:f>
        <x:v>4</x:v>
      </x:c>
      <x:c r="J7" s="107" t="n">
        <x:f>SUM($H$7:H7)</x:f>
        <x:v>4</x:v>
      </x:c>
      <x:c r="K7" s="52" t="str">
        <x:f>IF(G7=0,"Deferred",IF(G7&lt;E7,"Partial",IF(J7&lt;='Overview'!$B$10,"Fits","Over capacity")))</x:f>
        <x:v>Fits</x:v>
      </x:c>
      <x:c r="L7" s="54"/>
    </x:row>
    <x:row r="8" ht="38" customHeight="1">
      <x:c r="A8" s="104" t="str">
        <x:v>Macroeconomics</x:v>
      </x:c>
      <x:c r="B8" s="52" t="n">
        <x:v>9</x:v>
      </x:c>
      <x:c r="C8" s="52" t="str">
        <x:v>9.2</x:v>
      </x:c>
      <x:c r="D8" s="105" t="str">
        <x:v>Economic growth and sustainability</x:v>
      </x:c>
      <x:c r="E8" s="106" t="n">
        <x:f>COUNTIF('Detailed Checklist'!$C$8:$C$65,C8)</x:f>
        <x:v>6</x:v>
      </x:c>
      <x:c r="F8" s="107" t="n">
        <x:f>SUMIF('Detailed Checklist'!$C$8:$C$65,C8,'Detailed Checklist'!$H$8:$H$65)</x:f>
        <x:v>4</x:v>
      </x:c>
      <x:c r="G8" s="107" t="n">
        <x:f>COUNTIFS('Detailed Checklist'!$C$8:$C$65,C8,'Detailed Checklist'!$I$8:$I$65,"Yes")</x:f>
        <x:v>6</x:v>
      </x:c>
      <x:c r="H8" s="107" t="n">
        <x:f>SUMIF('Detailed Checklist'!$C$8:$C$65,C8,'Detailed Checklist'!$K$8:$K$65)</x:f>
        <x:v>4</x:v>
      </x:c>
      <x:c r="I8" s="107" t="n">
        <x:f>SUM($F$7:F8)</x:f>
        <x:v>8</x:v>
      </x:c>
      <x:c r="J8" s="107" t="n">
        <x:f>SUM($H$7:H8)</x:f>
        <x:v>8</x:v>
      </x:c>
      <x:c r="K8" s="52" t="str">
        <x:f>IF(G8=0,"Deferred",IF(G8&lt;E8,"Partial",IF(J8&lt;='Overview'!$B$10,"Fits","Over capacity")))</x:f>
        <x:v>Fits</x:v>
      </x:c>
      <x:c r="L8" s="54"/>
    </x:row>
    <x:row r="9" ht="38" customHeight="1">
      <x:c r="A9" s="104" t="str">
        <x:v>Macroeconomics</x:v>
      </x:c>
      <x:c r="B9" s="52" t="n">
        <x:v>9</x:v>
      </x:c>
      <x:c r="C9" s="52" t="str">
        <x:v>9.3</x:v>
      </x:c>
      <x:c r="D9" s="105" t="str">
        <x:v>Employment/unemployment</x:v>
      </x:c>
      <x:c r="E9" s="106" t="n">
        <x:f>COUNTIF('Detailed Checklist'!$C$8:$C$65,C9)</x:f>
        <x:v>7</x:v>
      </x:c>
      <x:c r="F9" s="107" t="n">
        <x:f>SUMIF('Detailed Checklist'!$C$8:$C$65,C9,'Detailed Checklist'!$H$8:$H$65)</x:f>
        <x:v>3</x:v>
      </x:c>
      <x:c r="G9" s="107" t="n">
        <x:f>COUNTIFS('Detailed Checklist'!$C$8:$C$65,C9,'Detailed Checklist'!$I$8:$I$65,"Yes")</x:f>
        <x:v>7</x:v>
      </x:c>
      <x:c r="H9" s="107" t="n">
        <x:f>SUMIF('Detailed Checklist'!$C$8:$C$65,C9,'Detailed Checklist'!$K$8:$K$65)</x:f>
        <x:v>3</x:v>
      </x:c>
      <x:c r="I9" s="107" t="n">
        <x:f>SUM($F$7:F9)</x:f>
        <x:v>11</x:v>
      </x:c>
      <x:c r="J9" s="107" t="n">
        <x:f>SUM($H$7:H9)</x:f>
        <x:v>11</x:v>
      </x:c>
      <x:c r="K9" s="52" t="str">
        <x:f>IF(G9=0,"Deferred",IF(G9&lt;E9,"Partial",IF(J9&lt;='Overview'!$B$10,"Fits","Over capacity")))</x:f>
        <x:v>Fits</x:v>
      </x:c>
      <x:c r="L9" s="54"/>
    </x:row>
    <x:row r="10" ht="38" customHeight="1">
      <x:c r="A10" s="104" t="str">
        <x:v>Macroeconomics</x:v>
      </x:c>
      <x:c r="B10" s="52" t="n">
        <x:v>9</x:v>
      </x:c>
      <x:c r="C10" s="52" t="str">
        <x:v>9.4</x:v>
      </x:c>
      <x:c r="D10" s="105" t="str">
        <x:v>Money and banking</x:v>
      </x:c>
      <x:c r="E10" s="106" t="n">
        <x:f>COUNTIF('Detailed Checklist'!$C$8:$C$65,C10)</x:f>
        <x:v>8</x:v>
      </x:c>
      <x:c r="F10" s="107" t="n">
        <x:f>SUMIF('Detailed Checklist'!$C$8:$C$65,C10,'Detailed Checklist'!$H$8:$H$65)</x:f>
        <x:v>5</x:v>
      </x:c>
      <x:c r="G10" s="107" t="n">
        <x:f>COUNTIFS('Detailed Checklist'!$C$8:$C$65,C10,'Detailed Checklist'!$I$8:$I$65,"Yes")</x:f>
        <x:v>8</x:v>
      </x:c>
      <x:c r="H10" s="107" t="n">
        <x:f>SUMIF('Detailed Checklist'!$C$8:$C$65,C10,'Detailed Checklist'!$K$8:$K$65)</x:f>
        <x:v>5</x:v>
      </x:c>
      <x:c r="I10" s="107" t="n">
        <x:f>SUM($F$7:F10)</x:f>
        <x:v>16</x:v>
      </x:c>
      <x:c r="J10" s="107" t="n">
        <x:f>SUM($H$7:H10)</x:f>
        <x:v>16</x:v>
      </x:c>
      <x:c r="K10" s="52" t="str">
        <x:f>IF(G10=0,"Deferred",IF(G10&lt;E10,"Partial",IF(J10&lt;='Overview'!$B$10,"Fits","Over capacity")))</x:f>
        <x:v>Fits</x:v>
      </x:c>
      <x:c r="L10" s="54"/>
    </x:row>
    <x:row r="11" ht="38" customHeight="1">
      <x:c r="A11" s="104" t="str">
        <x:v>Macroeconomics</x:v>
      </x:c>
      <x:c r="B11" s="52" t="n">
        <x:v>10</x:v>
      </x:c>
      <x:c r="C11" s="52" t="str">
        <x:v>10.1</x:v>
      </x:c>
      <x:c r="D11" s="105" t="str">
        <x:v>Government macroeconomic policy objectives</x:v>
      </x:c>
      <x:c r="E11" s="106" t="n">
        <x:f>COUNTIF('Detailed Checklist'!$C$8:$C$65,C11)</x:f>
        <x:v>1</x:v>
      </x:c>
      <x:c r="F11" s="107" t="n">
        <x:f>SUMIF('Detailed Checklist'!$C$8:$C$65,C11,'Detailed Checklist'!$H$8:$H$65)</x:f>
        <x:v>1</x:v>
      </x:c>
      <x:c r="G11" s="107" t="n">
        <x:f>COUNTIFS('Detailed Checklist'!$C$8:$C$65,C11,'Detailed Checklist'!$I$8:$I$65,"Yes")</x:f>
        <x:v>1</x:v>
      </x:c>
      <x:c r="H11" s="107" t="n">
        <x:f>SUMIF('Detailed Checklist'!$C$8:$C$65,C11,'Detailed Checklist'!$K$8:$K$65)</x:f>
        <x:v>1</x:v>
      </x:c>
      <x:c r="I11" s="107" t="n">
        <x:f>SUM($F$7:F11)</x:f>
        <x:v>17</x:v>
      </x:c>
      <x:c r="J11" s="107" t="n">
        <x:f>SUM($H$7:H11)</x:f>
        <x:v>17</x:v>
      </x:c>
      <x:c r="K11" s="52" t="str">
        <x:f>IF(G11=0,"Deferred",IF(G11&lt;E11,"Partial",IF(J11&lt;='Overview'!$B$10,"Fits","Over capacity")))</x:f>
        <x:v>Fits</x:v>
      </x:c>
      <x:c r="L11" s="54"/>
    </x:row>
    <x:row r="12" ht="38" customHeight="1">
      <x:c r="A12" s="104" t="str">
        <x:v>Macroeconomics</x:v>
      </x:c>
      <x:c r="B12" s="52" t="n">
        <x:v>10</x:v>
      </x:c>
      <x:c r="C12" s="52" t="str">
        <x:v>10.2</x:v>
      </x:c>
      <x:c r="D12" s="105" t="str">
        <x:v>Links between macroeconomic problems</x:v>
      </x:c>
      <x:c r="E12" s="106" t="n">
        <x:f>COUNTIF('Detailed Checklist'!$C$8:$C$65,C12)</x:f>
        <x:v>5</x:v>
      </x:c>
      <x:c r="F12" s="107" t="n">
        <x:f>SUMIF('Detailed Checklist'!$C$8:$C$65,C12,'Detailed Checklist'!$H$8:$H$65)</x:f>
        <x:v>3</x:v>
      </x:c>
      <x:c r="G12" s="107" t="n">
        <x:f>COUNTIFS('Detailed Checklist'!$C$8:$C$65,C12,'Detailed Checklist'!$I$8:$I$65,"Yes")</x:f>
        <x:v>5</x:v>
      </x:c>
      <x:c r="H12" s="107" t="n">
        <x:f>SUMIF('Detailed Checklist'!$C$8:$C$65,C12,'Detailed Checklist'!$K$8:$K$65)</x:f>
        <x:v>3</x:v>
      </x:c>
      <x:c r="I12" s="107" t="n">
        <x:f>SUM($F$7:F12)</x:f>
        <x:v>20</x:v>
      </x:c>
      <x:c r="J12" s="107" t="n">
        <x:f>SUM($H$7:H12)</x:f>
        <x:v>20</x:v>
      </x:c>
      <x:c r="K12" s="52" t="str">
        <x:f>IF(G12=0,"Deferred",IF(G12&lt;E12,"Partial",IF(J12&lt;='Overview'!$B$10,"Fits","Over capacity")))</x:f>
        <x:v>Fits</x:v>
      </x:c>
      <x:c r="L12" s="54"/>
    </x:row>
    <x:row r="13" ht="38" customHeight="1">
      <x:c r="A13" s="104" t="str">
        <x:v>Macroeconomics</x:v>
      </x:c>
      <x:c r="B13" s="52" t="n">
        <x:v>10</x:v>
      </x:c>
      <x:c r="C13" s="52" t="str">
        <x:v>10.3</x:v>
      </x:c>
      <x:c r="D13" s="105" t="str">
        <x:v>Effectiveness of macroeconomic policy options</x:v>
      </x:c>
      <x:c r="E13" s="106" t="n">
        <x:f>COUNTIF('Detailed Checklist'!$C$8:$C$65,C13)</x:f>
        <x:v>3</x:v>
      </x:c>
      <x:c r="F13" s="107" t="n">
        <x:f>SUMIF('Detailed Checklist'!$C$8:$C$65,C13,'Detailed Checklist'!$H$8:$H$65)</x:f>
        <x:v>3</x:v>
      </x:c>
      <x:c r="G13" s="107" t="n">
        <x:f>COUNTIFS('Detailed Checklist'!$C$8:$C$65,C13,'Detailed Checklist'!$I$8:$I$65,"Yes")</x:f>
        <x:v>3</x:v>
      </x:c>
      <x:c r="H13" s="107" t="n">
        <x:f>SUMIF('Detailed Checklist'!$C$8:$C$65,C13,'Detailed Checklist'!$K$8:$K$65)</x:f>
        <x:v>3</x:v>
      </x:c>
      <x:c r="I13" s="107" t="n">
        <x:f>SUM($F$7:F13)</x:f>
        <x:v>23</x:v>
      </x:c>
      <x:c r="J13" s="107" t="n">
        <x:f>SUM($H$7:H13)</x:f>
        <x:v>23</x:v>
      </x:c>
      <x:c r="K13" s="52" t="str">
        <x:f>IF(G13=0,"Deferred",IF(G13&lt;E13,"Partial",IF(J13&lt;='Overview'!$B$10,"Fits","Over capacity")))</x:f>
        <x:v>Fits</x:v>
      </x:c>
      <x:c r="L13" s="54"/>
    </x:row>
    <x:row r="14" ht="38" customHeight="1">
      <x:c r="A14" s="104" t="str">
        <x:v>International economics</x:v>
      </x:c>
      <x:c r="B14" s="52" t="n">
        <x:v>11</x:v>
      </x:c>
      <x:c r="C14" s="52" t="str">
        <x:v>11.1</x:v>
      </x:c>
      <x:c r="D14" s="105" t="str">
        <x:v>Policies to correct balance-of-payments disequilibrium</x:v>
      </x:c>
      <x:c r="E14" s="106" t="n">
        <x:f>COUNTIF('Detailed Checklist'!$C$8:$C$65,C14)</x:f>
        <x:v>3</x:v>
      </x:c>
      <x:c r="F14" s="107" t="n">
        <x:f>SUMIF('Detailed Checklist'!$C$8:$C$65,C14,'Detailed Checklist'!$H$8:$H$65)</x:f>
        <x:v>2</x:v>
      </x:c>
      <x:c r="G14" s="107" t="n">
        <x:f>COUNTIFS('Detailed Checklist'!$C$8:$C$65,C14,'Detailed Checklist'!$I$8:$I$65,"Yes")</x:f>
        <x:v>3</x:v>
      </x:c>
      <x:c r="H14" s="107" t="n">
        <x:f>SUMIF('Detailed Checklist'!$C$8:$C$65,C14,'Detailed Checklist'!$K$8:$K$65)</x:f>
        <x:v>2</x:v>
      </x:c>
      <x:c r="I14" s="107" t="n">
        <x:f>SUM($F$7:F14)</x:f>
        <x:v>25</x:v>
      </x:c>
      <x:c r="J14" s="107" t="n">
        <x:f>SUM($H$7:H14)</x:f>
        <x:v>25</x:v>
      </x:c>
      <x:c r="K14" s="52" t="str">
        <x:f>IF(G14=0,"Deferred",IF(G14&lt;E14,"Partial",IF(J14&lt;='Overview'!$B$10,"Fits","Over capacity")))</x:f>
        <x:v>Fits</x:v>
      </x:c>
      <x:c r="L14" s="54"/>
    </x:row>
    <x:row r="15" ht="38" customHeight="1">
      <x:c r="A15" s="104" t="str">
        <x:v>International economics</x:v>
      </x:c>
      <x:c r="B15" s="52" t="n">
        <x:v>11</x:v>
      </x:c>
      <x:c r="C15" s="52" t="str">
        <x:v>11.2</x:v>
      </x:c>
      <x:c r="D15" s="105" t="str">
        <x:v>Exchange rates</x:v>
      </x:c>
      <x:c r="E15" s="106" t="n">
        <x:f>COUNTIF('Detailed Checklist'!$C$8:$C$65,C15)</x:f>
        <x:v>5</x:v>
      </x:c>
      <x:c r="F15" s="107" t="n">
        <x:f>SUMIF('Detailed Checklist'!$C$8:$C$65,C15,'Detailed Checklist'!$H$8:$H$65)</x:f>
        <x:v>3</x:v>
      </x:c>
      <x:c r="G15" s="107" t="n">
        <x:f>COUNTIFS('Detailed Checklist'!$C$8:$C$65,C15,'Detailed Checklist'!$I$8:$I$65,"Yes")</x:f>
        <x:v>5</x:v>
      </x:c>
      <x:c r="H15" s="107" t="n">
        <x:f>SUMIF('Detailed Checklist'!$C$8:$C$65,C15,'Detailed Checklist'!$K$8:$K$65)</x:f>
        <x:v>3</x:v>
      </x:c>
      <x:c r="I15" s="107" t="n">
        <x:f>SUM($F$7:F15)</x:f>
        <x:v>28</x:v>
      </x:c>
      <x:c r="J15" s="107" t="n">
        <x:f>SUM($H$7:H15)</x:f>
        <x:v>28</x:v>
      </x:c>
      <x:c r="K15" s="52" t="str">
        <x:f>IF(G15=0,"Deferred",IF(G15&lt;E15,"Partial",IF(J15&lt;='Overview'!$B$10,"Fits","Over capacity")))</x:f>
        <x:v>Fits</x:v>
      </x:c>
      <x:c r="L15" s="54"/>
    </x:row>
    <x:row r="16" ht="38" customHeight="1">
      <x:c r="A16" s="104" t="str">
        <x:v>International economics</x:v>
      </x:c>
      <x:c r="B16" s="52" t="n">
        <x:v>11</x:v>
      </x:c>
      <x:c r="C16" s="52" t="str">
        <x:v>11.3</x:v>
      </x:c>
      <x:c r="D16" s="105" t="str">
        <x:v>Economic development</x:v>
      </x:c>
      <x:c r="E16" s="106" t="n">
        <x:f>COUNTIF('Detailed Checklist'!$C$8:$C$65,C16)</x:f>
        <x:v>4</x:v>
      </x:c>
      <x:c r="F16" s="107" t="n">
        <x:f>SUMIF('Detailed Checklist'!$C$8:$C$65,C16,'Detailed Checklist'!$H$8:$H$65)</x:f>
        <x:v>4</x:v>
      </x:c>
      <x:c r="G16" s="107" t="n">
        <x:f>COUNTIFS('Detailed Checklist'!$C$8:$C$65,C16,'Detailed Checklist'!$I$8:$I$65,"Yes")</x:f>
        <x:v>4</x:v>
      </x:c>
      <x:c r="H16" s="107" t="n">
        <x:f>SUMIF('Detailed Checklist'!$C$8:$C$65,C16,'Detailed Checklist'!$K$8:$K$65)</x:f>
        <x:v>4</x:v>
      </x:c>
      <x:c r="I16" s="107" t="n">
        <x:f>SUM($F$7:F16)</x:f>
        <x:v>32</x:v>
      </x:c>
      <x:c r="J16" s="107" t="n">
        <x:f>SUM($H$7:H16)</x:f>
        <x:v>32</x:v>
      </x:c>
      <x:c r="K16" s="52" t="str">
        <x:f>IF(G16=0,"Deferred",IF(G16&lt;E16,"Partial",IF(J16&lt;='Overview'!$B$10,"Fits","Over capacity")))</x:f>
        <x:v>Over capacity</x:v>
      </x:c>
      <x:c r="L16" s="54"/>
    </x:row>
    <x:row r="17" ht="38" customHeight="1">
      <x:c r="A17" s="104" t="str">
        <x:v>International economics</x:v>
      </x:c>
      <x:c r="B17" s="52" t="n">
        <x:v>11</x:v>
      </x:c>
      <x:c r="C17" s="52" t="str">
        <x:v>11.4</x:v>
      </x:c>
      <x:c r="D17" s="105" t="str">
        <x:v>Characteristics at different levels of development</x:v>
      </x:c>
      <x:c r="E17" s="106" t="n">
        <x:f>COUNTIF('Detailed Checklist'!$C$8:$C$65,C17)</x:f>
        <x:v>3</x:v>
      </x:c>
      <x:c r="F17" s="107" t="n">
        <x:f>SUMIF('Detailed Checklist'!$C$8:$C$65,C17,'Detailed Checklist'!$H$8:$H$65)</x:f>
        <x:v>3</x:v>
      </x:c>
      <x:c r="G17" s="107" t="n">
        <x:f>COUNTIFS('Detailed Checklist'!$C$8:$C$65,C17,'Detailed Checklist'!$I$8:$I$65,"Yes")</x:f>
        <x:v>3</x:v>
      </x:c>
      <x:c r="H17" s="107" t="n">
        <x:f>SUMIF('Detailed Checklist'!$C$8:$C$65,C17,'Detailed Checklist'!$K$8:$K$65)</x:f>
        <x:v>3</x:v>
      </x:c>
      <x:c r="I17" s="107" t="n">
        <x:f>SUM($F$7:F17)</x:f>
        <x:v>35</x:v>
      </x:c>
      <x:c r="J17" s="107" t="n">
        <x:f>SUM($H$7:H17)</x:f>
        <x:v>35</x:v>
      </x:c>
      <x:c r="K17" s="52" t="str">
        <x:f>IF(G17=0,"Deferred",IF(G17&lt;E17,"Partial",IF(J17&lt;='Overview'!$B$10,"Fits","Over capacity")))</x:f>
        <x:v>Over capacity</x:v>
      </x:c>
      <x:c r="L17" s="54"/>
    </x:row>
    <x:row r="18" ht="38" customHeight="1">
      <x:c r="A18" s="104" t="str">
        <x:v>International economics</x:v>
      </x:c>
      <x:c r="B18" s="52" t="n">
        <x:v>11</x:v>
      </x:c>
      <x:c r="C18" s="52" t="str">
        <x:v>11.5</x:v>
      </x:c>
      <x:c r="D18" s="105" t="str">
        <x:v>Relationships between countries at different development levels</x:v>
      </x:c>
      <x:c r="E18" s="106" t="n">
        <x:f>COUNTIF('Detailed Checklist'!$C$8:$C$65,C18)</x:f>
        <x:v>7</x:v>
      </x:c>
      <x:c r="F18" s="107" t="n">
        <x:f>SUMIF('Detailed Checklist'!$C$8:$C$65,C18,'Detailed Checklist'!$H$8:$H$65)</x:f>
        <x:v>4</x:v>
      </x:c>
      <x:c r="G18" s="107" t="n">
        <x:f>COUNTIFS('Detailed Checklist'!$C$8:$C$65,C18,'Detailed Checklist'!$I$8:$I$65,"Yes")</x:f>
        <x:v>7</x:v>
      </x:c>
      <x:c r="H18" s="107" t="n">
        <x:f>SUMIF('Detailed Checklist'!$C$8:$C$65,C18,'Detailed Checklist'!$K$8:$K$65)</x:f>
        <x:v>4</x:v>
      </x:c>
      <x:c r="I18" s="107" t="n">
        <x:f>SUM($F$7:F18)</x:f>
        <x:v>39</x:v>
      </x:c>
      <x:c r="J18" s="107" t="n">
        <x:f>SUM($H$7:H18)</x:f>
        <x:v>39</x:v>
      </x:c>
      <x:c r="K18" s="52" t="str">
        <x:f>IF(G18=0,"Deferred",IF(G18&lt;E18,"Partial",IF(J18&lt;='Overview'!$B$10,"Fits","Over capacity")))</x:f>
        <x:v>Over capacity</x:v>
      </x:c>
      <x:c r="L18" s="54"/>
    </x:row>
    <x:row r="19" ht="38" customHeight="1">
      <x:c r="A19" s="108" t="str">
        <x:v>International economics</x:v>
      </x:c>
      <x:c r="B19" s="56" t="n">
        <x:v>11</x:v>
      </x:c>
      <x:c r="C19" s="56" t="str">
        <x:v>11.6</x:v>
      </x:c>
      <x:c r="D19" s="109" t="str">
        <x:v>Globalisation</x:v>
      </x:c>
      <x:c r="E19" s="110" t="n">
        <x:f>COUNTIF('Detailed Checklist'!$C$8:$C$65,C19)</x:f>
        <x:v>3</x:v>
      </x:c>
      <x:c r="F19" s="111" t="n">
        <x:f>SUMIF('Detailed Checklist'!$C$8:$C$65,C19,'Detailed Checklist'!$H$8:$H$65)</x:f>
        <x:v>3</x:v>
      </x:c>
      <x:c r="G19" s="111" t="n">
        <x:f>COUNTIFS('Detailed Checklist'!$C$8:$C$65,C19,'Detailed Checklist'!$I$8:$I$65,"Yes")</x:f>
        <x:v>3</x:v>
      </x:c>
      <x:c r="H19" s="111" t="n">
        <x:f>SUMIF('Detailed Checklist'!$C$8:$C$65,C19,'Detailed Checklist'!$K$8:$K$65)</x:f>
        <x:v>3</x:v>
      </x:c>
      <x:c r="I19" s="111" t="n">
        <x:f>SUM($F$7:F19)</x:f>
        <x:v>42</x:v>
      </x:c>
      <x:c r="J19" s="111" t="n">
        <x:f>SUM($H$7:H19)</x:f>
        <x:v>42</x:v>
      </x:c>
      <x:c r="K19" s="56" t="str">
        <x:f>IF(G19=0,"Deferred",IF(G19&lt;E19,"Partial",IF(J19&lt;='Overview'!$B$10,"Fits","Over capacity")))</x:f>
        <x:v>Over capacity</x:v>
      </x:c>
      <x:c r="L19" s="58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</x:sheetData>
  <x:mergeCells>
    <x:mergeCell ref="A1:L2"/>
    <x:mergeCell ref="A3:L3"/>
    <x:mergeCell ref="A5:L5"/>
  </x:mergeCells>
  <x:conditionalFormatting sqref="K7:K19">
    <x:cfRule type="containsText" dxfId="4" priority="1" operator="containsText" text="Fits"/>
    <x:cfRule type="containsText" dxfId="5" priority="2" operator="containsText" text="Over"/>
    <x:cfRule type="containsText" dxfId="6" priority="3" operator="containsText" text="Partial"/>
    <x:cfRule type="containsText" dxfId="7" priority="4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7ec63ca7c4d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" hidden="0" customWidth="1"/>
    <x:col min="3" max="3" width="11" hidden="0" customWidth="1"/>
    <x:col min="4" max="4" width="39" hidden="0" customWidth="1"/>
    <x:col min="5" max="5" width="12" hidden="0" customWidth="1"/>
    <x:col min="6" max="6" width="78" hidden="0" customWidth="1"/>
    <x:col min="7" max="7" width="11" hidden="0" customWidth="1"/>
    <x:col min="8" max="8" width="13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  <x:col min="15" max="15" width="16" hidden="0" customWidth="1"/>
    <x:col min="16" max="16" width="32" hidden="0" customWidth="1"/>
  </x:cols>
  <x:sheetData>
    <x:row r="1" ht="28" customHeight="1">
      <x:c r="A1" s="3" t="str">
        <x:v>Detailed A Level Checklist</x:v>
      </x:c>
      <x:c r="B1" s="3" t="str">
        <x:v>Detailed A Level Checklist</x:v>
      </x:c>
      <x:c r="C1" s="3" t="str">
        <x:v>Detailed A Level Checklist</x:v>
      </x:c>
      <x:c r="D1" s="3" t="str">
        <x:v>Detailed A Level Checklist</x:v>
      </x:c>
      <x:c r="E1" s="3" t="str">
        <x:v>Detailed A Level Checklist</x:v>
      </x:c>
      <x:c r="F1" s="3" t="str">
        <x:v>Detailed A Level Checklist</x:v>
      </x:c>
      <x:c r="G1" s="3" t="str">
        <x:v>Detailed A Level Checklist</x:v>
      </x:c>
      <x:c r="H1" s="3" t="str">
        <x:v>Detailed A Level Checklist</x:v>
      </x:c>
      <x:c r="I1" s="3" t="str">
        <x:v>Detailed A Level Checklist</x:v>
      </x:c>
      <x:c r="J1" s="3" t="str">
        <x:v>Detailed A Level Checklist</x:v>
      </x:c>
      <x:c r="K1" s="3" t="str">
        <x:v>Detailed A Level Checklist</x:v>
      </x:c>
      <x:c r="L1" s="3" t="str">
        <x:v>Detailed A Level Checklist</x:v>
      </x:c>
      <x:c r="M1" s="3" t="str">
        <x:v>Detailed A Level Checklist</x:v>
      </x:c>
      <x:c r="N1" s="3" t="str">
        <x:v>Detailed A Level Checklist</x:v>
      </x:c>
      <x:c r="O1" s="3" t="str">
        <x:v>Detailed A Level Checklist</x:v>
      </x:c>
      <x:c r="P1" s="3" t="str">
        <x:v>Detailed A Level Checklist</x:v>
      </x:c>
    </x:row>
    <x:row r="2" ht="28" customHeight="1">
      <x:c r="A2" s="3" t="str">
        <x:v>Detailed A Level Checklist</x:v>
      </x:c>
      <x:c r="B2" s="3" t="str">
        <x:v>Detailed A Level Checklist</x:v>
      </x:c>
      <x:c r="C2" s="3" t="str">
        <x:v>Detailed A Level Checklist</x:v>
      </x:c>
      <x:c r="D2" s="3" t="str">
        <x:v>Detailed A Level Checklist</x:v>
      </x:c>
      <x:c r="E2" s="3" t="str">
        <x:v>Detailed A Level Checklist</x:v>
      </x:c>
      <x:c r="F2" s="3" t="str">
        <x:v>Detailed A Level Checklist</x:v>
      </x:c>
      <x:c r="G2" s="3" t="str">
        <x:v>Detailed A Level Checklist</x:v>
      </x:c>
      <x:c r="H2" s="3" t="str">
        <x:v>Detailed A Level Checklist</x:v>
      </x:c>
      <x:c r="I2" s="3" t="str">
        <x:v>Detailed A Level Checklist</x:v>
      </x:c>
      <x:c r="J2" s="3" t="str">
        <x:v>Detailed A Level Checklist</x:v>
      </x:c>
      <x:c r="K2" s="3" t="str">
        <x:v>Detailed A Level Checklist</x:v>
      </x:c>
      <x:c r="L2" s="3" t="str">
        <x:v>Detailed A Level Checklist</x:v>
      </x:c>
      <x:c r="M2" s="3" t="str">
        <x:v>Detailed A Level Checklist</x:v>
      </x:c>
      <x:c r="N2" s="3" t="str">
        <x:v>Detailed A Level Checklist</x:v>
      </x:c>
      <x:c r="O2" s="3" t="str">
        <x:v>Detailed A Level Checklist</x:v>
      </x:c>
      <x:c r="P2" s="3" t="str">
        <x:v>Detailed A Level Checklist</x:v>
      </x:c>
    </x:row>
    <x:row r="3" ht="30" customHeight="1">
      <x:c r="A3" s="9" t="str">
        <x:v>All A Level-only macroeconomics and international economics syllabus statements. Edit blue cells to test a teachable plan.</x:v>
      </x:c>
      <x:c r="B3" s="9" t="str">
        <x:v>All A Level-only macroeconomics and international economics syllabus statements. Edit blue cells to test a teachable plan.</x:v>
      </x:c>
      <x:c r="C3" s="9" t="str">
        <x:v>All A Level-only macroeconomics and international economics syllabus statements. Edit blue cells to test a teachable plan.</x:v>
      </x:c>
      <x:c r="D3" s="9" t="str">
        <x:v>All A Level-only macroeconomics and international economics syllabus statements. Edit blue cells to test a teachable plan.</x:v>
      </x:c>
      <x:c r="E3" s="9" t="str">
        <x:v>All A Level-only macroeconomics and international economics syllabus statements. Edit blue cells to test a teachable plan.</x:v>
      </x:c>
      <x:c r="F3" s="9" t="str">
        <x:v>All A Level-only macroeconomics and international economics syllabus statements. Edit blue cells to test a teachable plan.</x:v>
      </x:c>
      <x:c r="G3" s="9" t="str">
        <x:v>All A Level-only macroeconomics and international economics syllabus statements. Edit blue cells to test a teachable plan.</x:v>
      </x:c>
      <x:c r="H3" s="9" t="str">
        <x:v>All A Level-only macroeconomics and international economics syllabus statements. Edit blue cells to test a teachable plan.</x:v>
      </x:c>
      <x:c r="I3" s="9" t="str">
        <x:v>All A Level-only macroeconomics and international economics syllabus statements. Edit blue cells to test a teachable plan.</x:v>
      </x:c>
      <x:c r="J3" s="9" t="str">
        <x:v>All A Level-only macroeconomics and international economics syllabus statements. Edit blue cells to test a teachable plan.</x:v>
      </x:c>
      <x:c r="K3" s="9" t="str">
        <x:v>All A Level-only macroeconomics and international economics syllabus statements. Edit blue cells to test a teachable plan.</x:v>
      </x:c>
      <x:c r="L3" s="9" t="str">
        <x:v>All A Level-only macroeconomics and international economics syllabus statements. Edit blue cells to test a teachable plan.</x:v>
      </x:c>
      <x:c r="M3" s="9" t="str">
        <x:v>All A Level-only macroeconomics and international economics syllabus statements. Edit blue cells to test a teachable plan.</x:v>
      </x:c>
      <x:c r="N3" s="9" t="str">
        <x:v>All A Level-only macroeconomics and international economics syllabus statements. Edit blue cells to test a teachable plan.</x:v>
      </x:c>
      <x:c r="O3" s="9" t="str">
        <x:v>All A Level-only macroeconomics and international economics syllabus statements. Edit blue cells to test a teachable plan.</x:v>
      </x:c>
      <x:c r="P3" s="9" t="str">
        <x:v>All A Level-only macroeconomics and international economics syllabus statements. Edit blue cells to test a teachable plan.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</x:row>
    <x:row r="5" ht="30" customHeight="1">
      <x:c r="A5" s="113" t="str">
        <x:v>Blue = your inputs | Amber = suggested lesson demand | Fits is calculated against Overview! content lesson capacity | Syllabus order is retained for cumulative calculations</x:v>
      </x:c>
      <x:c r="B5" s="113" t="str">
        <x:v>Blue = your inputs | Amber = suggested lesson demand | Fits is calculated against Overview! content lesson capacity | Syllabus order is retained for cumulative calculations</x:v>
      </x:c>
      <x:c r="C5" s="113" t="str">
        <x:v>Blue = your inputs | Amber = suggested lesson demand | Fits is calculated against Overview! content lesson capacity | Syllabus order is retained for cumulative calculations</x:v>
      </x:c>
      <x:c r="D5" s="113" t="str">
        <x:v>Blue = your inputs | Amber = suggested lesson demand | Fits is calculated against Overview! content lesson capacity | Syllabus order is retained for cumulative calculations</x:v>
      </x:c>
      <x:c r="E5" s="113" t="str">
        <x:v>Blue = your inputs | Amber = suggested lesson demand | Fits is calculated against Overview! content lesson capacity | Syllabus order is retained for cumulative calculations</x:v>
      </x:c>
      <x:c r="F5" s="113" t="str">
        <x:v>Blue = your inputs | Amber = suggested lesson demand | Fits is calculated against Overview! content lesson capacity | Syllabus order is retained for cumulative calculations</x:v>
      </x:c>
      <x:c r="G5" s="113" t="str">
        <x:v>Blue = your inputs | Amber = suggested lesson demand | Fits is calculated against Overview! content lesson capacity | Syllabus order is retained for cumulative calculations</x:v>
      </x:c>
      <x:c r="H5" s="113" t="str">
        <x:v>Blue = your inputs | Amber = suggested lesson demand | Fits is calculated against Overview! content lesson capacity | Syllabus order is retained for cumulative calculations</x:v>
      </x:c>
      <x:c r="I5" s="113" t="str">
        <x:v>Blue = your inputs | Amber = suggested lesson demand | Fits is calculated against Overview! content lesson capacity | Syllabus order is retained for cumulative calculations</x:v>
      </x:c>
      <x:c r="J5" s="113" t="str">
        <x:v>Blue = your inputs | Amber = suggested lesson demand | Fits is calculated against Overview! content lesson capacity | Syllabus order is retained for cumulative calculations</x:v>
      </x:c>
      <x:c r="K5" s="113" t="str">
        <x:v>Blue = your inputs | Amber = suggested lesson demand | Fits is calculated against Overview! content lesson capacity | Syllabus order is retained for cumulative calculations</x:v>
      </x:c>
      <x:c r="L5" s="113" t="str">
        <x:v>Blue = your inputs | Amber = suggested lesson demand | Fits is calculated against Overview! content lesson capacity | Syllabus order is retained for cumulative calculations</x:v>
      </x:c>
      <x:c r="M5" s="113" t="str">
        <x:v>Blue = your inputs | Amber = suggested lesson demand | Fits is calculated against Overview! content lesson capacity | Syllabus order is retained for cumulative calculations</x:v>
      </x:c>
      <x:c r="N5" s="113" t="str">
        <x:v>Blue = your inputs | Amber = suggested lesson demand | Fits is calculated against Overview! content lesson capacity | Syllabus order is retained for cumulative calculations</x:v>
      </x:c>
      <x:c r="O5" s="113" t="str">
        <x:v>Blue = your inputs | Amber = suggested lesson demand | Fits is calculated against Overview! content lesson capacity | Syllabus order is retained for cumulative calculations</x:v>
      </x:c>
      <x:c r="P5" s="113" t="str">
        <x:v>Blue = your inputs | Amber = suggested lesson demand | Fits is calculated against Overview! content lesson capacity | Syllabus order is retained for cumulative calculations</x:v>
      </x:c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</x:row>
    <x:row r="7" ht="42" customHeight="1">
      <x:c r="A7" s="37" t="str">
        <x:v>Domain</x:v>
      </x:c>
      <x:c r="B7" s="38" t="str">
        <x:v>Section</x:v>
      </x:c>
      <x:c r="C7" s="38" t="str">
        <x:v>Subtopic</x:v>
      </x:c>
      <x:c r="D7" s="38" t="str">
        <x:v>Subtopic title</x:v>
      </x:c>
      <x:c r="E7" s="38" t="str">
        <x:v>Syllabus code</x:v>
      </x:c>
      <x:c r="F7" s="38" t="str">
        <x:v>Assessable content</x:v>
      </x:c>
      <x:c r="G7" s="38" t="str">
        <x:v>Source page</x:v>
      </x:c>
      <x:c r="H7" s="38" t="str">
        <x:v>Suggested lessons</x:v>
      </x:c>
      <x:c r="I7" s="38" t="str">
        <x:v>Plan to cover?</x:v>
      </x:c>
      <x:c r="J7" s="38" t="str">
        <x:v>Your lesson estimate</x:v>
      </x:c>
      <x:c r="K7" s="38" t="str">
        <x:v>Planned lessons</x:v>
      </x:c>
      <x:c r="L7" s="38" t="str">
        <x:v>Baseline cumulative</x:v>
      </x:c>
      <x:c r="M7" s="38" t="str">
        <x:v>Current-plan cumulative</x:v>
      </x:c>
      <x:c r="N7" s="38" t="str">
        <x:v>Fits current capacity?</x:v>
      </x:c>
      <x:c r="O7" s="38" t="str">
        <x:v>Teaching status</x:v>
      </x:c>
      <x:c r="P7" s="39" t="str">
        <x:v>Notes</x:v>
      </x:c>
    </x:row>
    <x:row r="8" ht="64" customHeight="1">
      <x:c r="A8" s="105" t="str">
        <x:v>Macroeconomics</x:v>
      </x:c>
      <x:c r="B8" s="52" t="n">
        <x:v>9</x:v>
      </x:c>
      <x:c r="C8" s="52" t="str">
        <x:v>9.1</x:v>
      </x:c>
      <x:c r="D8" s="52" t="str">
        <x:v>The circular flow of income</x:v>
      </x:c>
      <x:c r="E8" s="52" t="str">
        <x:v>9.1.1</x:v>
      </x:c>
      <x:c r="F8" s="105" t="str">
        <x:v>The multiplier process: definition; formulae and calculation in a closed and open economy, with and without government; calculation of aps/mps, apc/mpc, apm/mpm and art/mrt; national income determination; effect of changing AD on national income.</x:v>
      </x:c>
      <x:c r="G8" s="106" t="n">
        <x:v>29</x:v>
      </x:c>
      <x:c r="H8" s="118" t="n">
        <x:v>2</x:v>
      </x:c>
      <x:c r="I8" s="60" t="str">
        <x:v>Yes</x:v>
      </x:c>
      <x:c r="J8" s="119" t="n">
        <x:v>2</x:v>
      </x:c>
      <x:c r="K8" s="107" t="n">
        <x:f>IF(I8="Yes",J8,0)</x:f>
        <x:v>2</x:v>
      </x:c>
      <x:c r="L8" s="107" t="n">
        <x:f>SUM($H$8:H8)</x:f>
        <x:v>2</x:v>
      </x:c>
      <x:c r="M8" s="107" t="n">
        <x:f>SUM($K$8:K8)</x:f>
        <x:v>2</x:v>
      </x:c>
      <x:c r="N8" s="52" t="str">
        <x:f>IF(I8&lt;&gt;"Yes","Deferred",IF(M8&lt;='Overview'!$B$10,"Fits","Over capacity"))</x:f>
        <x:v>Fits</x:v>
      </x:c>
      <x:c r="O8" s="105" t="str">
        <x:v>Not started</x:v>
      </x:c>
      <x:c r="P8" s="105" t="str"/>
    </x:row>
    <x:row r="9" ht="64" customHeight="1">
      <x:c r="A9" s="105" t="str">
        <x:v>Macroeconomics</x:v>
      </x:c>
      <x:c r="B9" s="52" t="n">
        <x:v>9</x:v>
      </x:c>
      <x:c r="C9" s="52" t="str">
        <x:v>9.1</x:v>
      </x:c>
      <x:c r="D9" s="52" t="str">
        <x:v>The circular flow of income</x:v>
      </x:c>
      <x:c r="E9" s="52" t="str">
        <x:v>9.1.2</x:v>
      </x:c>
      <x:c r="F9" s="105" t="str">
        <x:v>Components of Aggregate Demand and their determinants: consumption function; savings function; autonomous and induced investment and the accelerator; government spending; net exports.</x:v>
      </x:c>
      <x:c r="G9" s="106" t="n">
        <x:v>29</x:v>
      </x:c>
      <x:c r="H9" s="118" t="n">
        <x:v>1.5</x:v>
      </x:c>
      <x:c r="I9" s="60" t="str">
        <x:v>Yes</x:v>
      </x:c>
      <x:c r="J9" s="119" t="n">
        <x:v>1.5</x:v>
      </x:c>
      <x:c r="K9" s="107" t="n">
        <x:f>IF(I9="Yes",J9,0)</x:f>
        <x:v>1.5</x:v>
      </x:c>
      <x:c r="L9" s="107" t="n">
        <x:f>SUM($H$8:H9)</x:f>
        <x:v>3.5</x:v>
      </x:c>
      <x:c r="M9" s="107" t="n">
        <x:f>SUM($K$8:K9)</x:f>
        <x:v>3.5</x:v>
      </x:c>
      <x:c r="N9" s="52" t="str">
        <x:f>IF(I9&lt;&gt;"Yes","Deferred",IF(M9&lt;='Overview'!$B$10,"Fits","Over capacity"))</x:f>
        <x:v>Fits</x:v>
      </x:c>
      <x:c r="O9" s="105" t="str">
        <x:v>Not started</x:v>
      </x:c>
      <x:c r="P9" s="105" t="str"/>
    </x:row>
    <x:row r="10" ht="64" customHeight="1">
      <x:c r="A10" s="105" t="str">
        <x:v>Macroeconomics</x:v>
      </x:c>
      <x:c r="B10" s="52" t="n">
        <x:v>9</x:v>
      </x:c>
      <x:c r="C10" s="52" t="str">
        <x:v>9.1</x:v>
      </x:c>
      <x:c r="D10" s="52" t="str">
        <x:v>The circular flow of income</x:v>
      </x:c>
      <x:c r="E10" s="52" t="str">
        <x:v>9.1.3</x:v>
      </x:c>
      <x:c r="F10" s="105" t="str">
        <x:v>Full-employment and equilibrium levels of national income, including inflationary and deflationary gaps.</x:v>
      </x:c>
      <x:c r="G10" s="106" t="n">
        <x:v>29</x:v>
      </x:c>
      <x:c r="H10" s="118" t="n">
        <x:v>0.5</x:v>
      </x:c>
      <x:c r="I10" s="60" t="str">
        <x:v>Yes</x:v>
      </x:c>
      <x:c r="J10" s="119" t="n">
        <x:v>0.5</x:v>
      </x:c>
      <x:c r="K10" s="107" t="n">
        <x:f>IF(I10="Yes",J10,0)</x:f>
        <x:v>0.5</x:v>
      </x:c>
      <x:c r="L10" s="107" t="n">
        <x:f>SUM($H$8:H10)</x:f>
        <x:v>4</x:v>
      </x:c>
      <x:c r="M10" s="107" t="n">
        <x:f>SUM($K$8:K10)</x:f>
        <x:v>4</x:v>
      </x:c>
      <x:c r="N10" s="52" t="str">
        <x:f>IF(I10&lt;&gt;"Yes","Deferred",IF(M10&lt;='Overview'!$B$10,"Fits","Over capacity"))</x:f>
        <x:v>Fits</x:v>
      </x:c>
      <x:c r="O10" s="105" t="str">
        <x:v>Not started</x:v>
      </x:c>
      <x:c r="P10" s="105" t="str"/>
    </x:row>
    <x:row r="11" ht="64" customHeight="1">
      <x:c r="A11" s="105" t="str">
        <x:v>Macroeconomics</x:v>
      </x:c>
      <x:c r="B11" s="52" t="n">
        <x:v>9</x:v>
      </x:c>
      <x:c r="C11" s="52" t="str">
        <x:v>9.2</x:v>
      </x:c>
      <x:c r="D11" s="52" t="str">
        <x:v>Economic growth and sustainability</x:v>
      </x:c>
      <x:c r="E11" s="52" t="str">
        <x:v>9.2.1</x:v>
      </x:c>
      <x:c r="F11" s="105" t="str">
        <x:v>Actual growth versus potential growth in national output.</x:v>
      </x:c>
      <x:c r="G11" s="106" t="n">
        <x:v>30</x:v>
      </x:c>
      <x:c r="H11" s="118" t="n">
        <x:v>0.5</x:v>
      </x:c>
      <x:c r="I11" s="60" t="str">
        <x:v>Yes</x:v>
      </x:c>
      <x:c r="J11" s="119" t="n">
        <x:v>0.5</x:v>
      </x:c>
      <x:c r="K11" s="107" t="n">
        <x:f>IF(I11="Yes",J11,0)</x:f>
        <x:v>0.5</x:v>
      </x:c>
      <x:c r="L11" s="107" t="n">
        <x:f>SUM($H$8:H11)</x:f>
        <x:v>4.5</x:v>
      </x:c>
      <x:c r="M11" s="107" t="n">
        <x:f>SUM($K$8:K11)</x:f>
        <x:v>4.5</x:v>
      </x:c>
      <x:c r="N11" s="52" t="str">
        <x:f>IF(I11&lt;&gt;"Yes","Deferred",IF(M11&lt;='Overview'!$B$10,"Fits","Over capacity"))</x:f>
        <x:v>Fits</x:v>
      </x:c>
      <x:c r="O11" s="105" t="str">
        <x:v>Not started</x:v>
      </x:c>
      <x:c r="P11" s="105" t="str"/>
    </x:row>
    <x:row r="12" ht="64" customHeight="1">
      <x:c r="A12" s="105" t="str">
        <x:v>Macroeconomics</x:v>
      </x:c>
      <x:c r="B12" s="52" t="n">
        <x:v>9</x:v>
      </x:c>
      <x:c r="C12" s="52" t="str">
        <x:v>9.2</x:v>
      </x:c>
      <x:c r="D12" s="52" t="str">
        <x:v>Economic growth and sustainability</x:v>
      </x:c>
      <x:c r="E12" s="52" t="str">
        <x:v>9.2.2</x:v>
      </x:c>
      <x:c r="F12" s="105" t="str">
        <x:v>Positive and negative output gaps.</x:v>
      </x:c>
      <x:c r="G12" s="106" t="n">
        <x:v>30</x:v>
      </x:c>
      <x:c r="H12" s="118" t="n">
        <x:v>0.5</x:v>
      </x:c>
      <x:c r="I12" s="60" t="str">
        <x:v>Yes</x:v>
      </x:c>
      <x:c r="J12" s="119" t="n">
        <x:v>0.5</x:v>
      </x:c>
      <x:c r="K12" s="107" t="n">
        <x:f>IF(I12="Yes",J12,0)</x:f>
        <x:v>0.5</x:v>
      </x:c>
      <x:c r="L12" s="107" t="n">
        <x:f>SUM($H$8:H12)</x:f>
        <x:v>5</x:v>
      </x:c>
      <x:c r="M12" s="107" t="n">
        <x:f>SUM($K$8:K12)</x:f>
        <x:v>5</x:v>
      </x:c>
      <x:c r="N12" s="52" t="str">
        <x:f>IF(I12&lt;&gt;"Yes","Deferred",IF(M12&lt;='Overview'!$B$10,"Fits","Over capacity"))</x:f>
        <x:v>Fits</x:v>
      </x:c>
      <x:c r="O12" s="105" t="str">
        <x:v>Not started</x:v>
      </x:c>
      <x:c r="P12" s="105" t="str"/>
    </x:row>
    <x:row r="13" ht="64" customHeight="1">
      <x:c r="A13" s="105" t="str">
        <x:v>Macroeconomics</x:v>
      </x:c>
      <x:c r="B13" s="52" t="n">
        <x:v>9</x:v>
      </x:c>
      <x:c r="C13" s="52" t="str">
        <x:v>9.2</x:v>
      </x:c>
      <x:c r="D13" s="52" t="str">
        <x:v>Economic growth and sustainability</x:v>
      </x:c>
      <x:c r="E13" s="52" t="str">
        <x:v>9.2.3</x:v>
      </x:c>
      <x:c r="F13" s="105" t="str">
        <x:v>Business (trade) cycle: phases, causes and the role of automatic stabilisers.</x:v>
      </x:c>
      <x:c r="G13" s="106" t="n">
        <x:v>30</x:v>
      </x:c>
      <x:c r="H13" s="118" t="n">
        <x:v>1</x:v>
      </x:c>
      <x:c r="I13" s="60" t="str">
        <x:v>Yes</x:v>
      </x:c>
      <x:c r="J13" s="119" t="n">
        <x:v>1</x:v>
      </x:c>
      <x:c r="K13" s="107" t="n">
        <x:f>IF(I13="Yes",J13,0)</x:f>
        <x:v>1</x:v>
      </x:c>
      <x:c r="L13" s="107" t="n">
        <x:f>SUM($H$8:H13)</x:f>
        <x:v>6</x:v>
      </x:c>
      <x:c r="M13" s="107" t="n">
        <x:f>SUM($K$8:K13)</x:f>
        <x:v>6</x:v>
      </x:c>
      <x:c r="N13" s="52" t="str">
        <x:f>IF(I13&lt;&gt;"Yes","Deferred",IF(M13&lt;='Overview'!$B$10,"Fits","Over capacity"))</x:f>
        <x:v>Fits</x:v>
      </x:c>
      <x:c r="O13" s="105" t="str">
        <x:v>Not started</x:v>
      </x:c>
      <x:c r="P13" s="105" t="str"/>
    </x:row>
    <x:row r="14" ht="64" customHeight="1">
      <x:c r="A14" s="105" t="str">
        <x:v>Macroeconomics</x:v>
      </x:c>
      <x:c r="B14" s="52" t="n">
        <x:v>9</x:v>
      </x:c>
      <x:c r="C14" s="52" t="str">
        <x:v>9.2</x:v>
      </x:c>
      <x:c r="D14" s="52" t="str">
        <x:v>Economic growth and sustainability</x:v>
      </x:c>
      <x:c r="E14" s="52" t="str">
        <x:v>9.2.4</x:v>
      </x:c>
      <x:c r="F14" s="105" t="str">
        <x:v>Policies to promote economic growth and their effectiveness.</x:v>
      </x:c>
      <x:c r="G14" s="106" t="n">
        <x:v>30</x:v>
      </x:c>
      <x:c r="H14" s="118" t="n">
        <x:v>0.5</x:v>
      </x:c>
      <x:c r="I14" s="60" t="str">
        <x:v>Yes</x:v>
      </x:c>
      <x:c r="J14" s="119" t="n">
        <x:v>0.5</x:v>
      </x:c>
      <x:c r="K14" s="107" t="n">
        <x:f>IF(I14="Yes",J14,0)</x:f>
        <x:v>0.5</x:v>
      </x:c>
      <x:c r="L14" s="107" t="n">
        <x:f>SUM($H$8:H14)</x:f>
        <x:v>6.5</x:v>
      </x:c>
      <x:c r="M14" s="107" t="n">
        <x:f>SUM($K$8:K14)</x:f>
        <x:v>6.5</x:v>
      </x:c>
      <x:c r="N14" s="52" t="str">
        <x:f>IF(I14&lt;&gt;"Yes","Deferred",IF(M14&lt;='Overview'!$B$10,"Fits","Over capacity"))</x:f>
        <x:v>Fits</x:v>
      </x:c>
      <x:c r="O14" s="105" t="str">
        <x:v>Not started</x:v>
      </x:c>
      <x:c r="P14" s="105" t="str"/>
    </x:row>
    <x:row r="15" ht="64" customHeight="1">
      <x:c r="A15" s="105" t="str">
        <x:v>Macroeconomics</x:v>
      </x:c>
      <x:c r="B15" s="52" t="n">
        <x:v>9</x:v>
      </x:c>
      <x:c r="C15" s="52" t="str">
        <x:v>9.2</x:v>
      </x:c>
      <x:c r="D15" s="52" t="str">
        <x:v>Economic growth and sustainability</x:v>
      </x:c>
      <x:c r="E15" s="52" t="str">
        <x:v>9.2.5</x:v>
      </x:c>
      <x:c r="F15" s="105" t="str">
        <x:v>Inclusive economic growth: definition; impact of growth on equity and equality; policies to promote inclusive growth.</x:v>
      </x:c>
      <x:c r="G15" s="106" t="n">
        <x:v>30</x:v>
      </x:c>
      <x:c r="H15" s="118" t="n">
        <x:v>0.75</x:v>
      </x:c>
      <x:c r="I15" s="60" t="str">
        <x:v>Yes</x:v>
      </x:c>
      <x:c r="J15" s="119" t="n">
        <x:v>0.75</x:v>
      </x:c>
      <x:c r="K15" s="107" t="n">
        <x:f>IF(I15="Yes",J15,0)</x:f>
        <x:v>0.75</x:v>
      </x:c>
      <x:c r="L15" s="107" t="n">
        <x:f>SUM($H$8:H15)</x:f>
        <x:v>7.25</x:v>
      </x:c>
      <x:c r="M15" s="107" t="n">
        <x:f>SUM($K$8:K15)</x:f>
        <x:v>7.25</x:v>
      </x:c>
      <x:c r="N15" s="52" t="str">
        <x:f>IF(I15&lt;&gt;"Yes","Deferred",IF(M15&lt;='Overview'!$B$10,"Fits","Over capacity"))</x:f>
        <x:v>Fits</x:v>
      </x:c>
      <x:c r="O15" s="105" t="str">
        <x:v>Not started</x:v>
      </x:c>
      <x:c r="P15" s="105" t="str"/>
    </x:row>
    <x:row r="16" ht="64" customHeight="1">
      <x:c r="A16" s="105" t="str">
        <x:v>Macroeconomics</x:v>
      </x:c>
      <x:c r="B16" s="52" t="n">
        <x:v>9</x:v>
      </x:c>
      <x:c r="C16" s="52" t="str">
        <x:v>9.2</x:v>
      </x:c>
      <x:c r="D16" s="52" t="str">
        <x:v>Economic growth and sustainability</x:v>
      </x:c>
      <x:c r="E16" s="52" t="str">
        <x:v>9.2.6</x:v>
      </x:c>
      <x:c r="F16" s="105" t="str">
        <x:v>Sustainable economic growth: definition; using and conserving resources; environmental and climate impacts; mitigation policies.</x:v>
      </x:c>
      <x:c r="G16" s="106" t="n">
        <x:v>30</x:v>
      </x:c>
      <x:c r="H16" s="118" t="n">
        <x:v>0.75</x:v>
      </x:c>
      <x:c r="I16" s="60" t="str">
        <x:v>Yes</x:v>
      </x:c>
      <x:c r="J16" s="119" t="n">
        <x:v>0.75</x:v>
      </x:c>
      <x:c r="K16" s="107" t="n">
        <x:f>IF(I16="Yes",J16,0)</x:f>
        <x:v>0.75</x:v>
      </x:c>
      <x:c r="L16" s="107" t="n">
        <x:f>SUM($H$8:H16)</x:f>
        <x:v>8</x:v>
      </x:c>
      <x:c r="M16" s="107" t="n">
        <x:f>SUM($K$8:K16)</x:f>
        <x:v>8</x:v>
      </x:c>
      <x:c r="N16" s="52" t="str">
        <x:f>IF(I16&lt;&gt;"Yes","Deferred",IF(M16&lt;='Overview'!$B$10,"Fits","Over capacity"))</x:f>
        <x:v>Fits</x:v>
      </x:c>
      <x:c r="O16" s="105" t="str">
        <x:v>Not started</x:v>
      </x:c>
      <x:c r="P16" s="105" t="str"/>
    </x:row>
    <x:row r="17" ht="64" customHeight="1">
      <x:c r="A17" s="105" t="str">
        <x:v>Macroeconomics</x:v>
      </x:c>
      <x:c r="B17" s="52" t="n">
        <x:v>9</x:v>
      </x:c>
      <x:c r="C17" s="52" t="str">
        <x:v>9.3</x:v>
      </x:c>
      <x:c r="D17" s="52" t="str">
        <x:v>Employment/unemployment</x:v>
      </x:c>
      <x:c r="E17" s="52" t="str">
        <x:v>9.3.1</x:v>
      </x:c>
      <x:c r="F17" s="105" t="str">
        <x:v>Definition of full employment.</x:v>
      </x:c>
      <x:c r="G17" s="106" t="n">
        <x:v>30</x:v>
      </x:c>
      <x:c r="H17" s="118" t="n">
        <x:v>0.25</x:v>
      </x:c>
      <x:c r="I17" s="60" t="str">
        <x:v>Yes</x:v>
      </x:c>
      <x:c r="J17" s="119" t="n">
        <x:v>0.25</x:v>
      </x:c>
      <x:c r="K17" s="107" t="n">
        <x:f>IF(I17="Yes",J17,0)</x:f>
        <x:v>0.25</x:v>
      </x:c>
      <x:c r="L17" s="107" t="n">
        <x:f>SUM($H$8:H17)</x:f>
        <x:v>8.25</x:v>
      </x:c>
      <x:c r="M17" s="107" t="n">
        <x:f>SUM($K$8:K17)</x:f>
        <x:v>8.25</x:v>
      </x:c>
      <x:c r="N17" s="52" t="str">
        <x:f>IF(I17&lt;&gt;"Yes","Deferred",IF(M17&lt;='Overview'!$B$10,"Fits","Over capacity"))</x:f>
        <x:v>Fits</x:v>
      </x:c>
      <x:c r="O17" s="105" t="str">
        <x:v>Not started</x:v>
      </x:c>
      <x:c r="P17" s="105" t="str"/>
    </x:row>
    <x:row r="18" ht="64" customHeight="1">
      <x:c r="A18" s="105" t="str">
        <x:v>Macroeconomics</x:v>
      </x:c>
      <x:c r="B18" s="52" t="n">
        <x:v>9</x:v>
      </x:c>
      <x:c r="C18" s="52" t="str">
        <x:v>9.3</x:v>
      </x:c>
      <x:c r="D18" s="52" t="str">
        <x:v>Employment/unemployment</x:v>
      </x:c>
      <x:c r="E18" s="52" t="str">
        <x:v>9.3.2</x:v>
      </x:c>
      <x:c r="F18" s="105" t="str">
        <x:v>Equilibrium and disequilibrium unemployment, including hysteresis.</x:v>
      </x:c>
      <x:c r="G18" s="106" t="n">
        <x:v>30</x:v>
      </x:c>
      <x:c r="H18" s="118" t="n">
        <x:v>0.5</x:v>
      </x:c>
      <x:c r="I18" s="60" t="str">
        <x:v>Yes</x:v>
      </x:c>
      <x:c r="J18" s="119" t="n">
        <x:v>0.5</x:v>
      </x:c>
      <x:c r="K18" s="107" t="n">
        <x:f>IF(I18="Yes",J18,0)</x:f>
        <x:v>0.5</x:v>
      </x:c>
      <x:c r="L18" s="107" t="n">
        <x:f>SUM($H$8:H18)</x:f>
        <x:v>8.75</x:v>
      </x:c>
      <x:c r="M18" s="107" t="n">
        <x:f>SUM($K$8:K18)</x:f>
        <x:v>8.75</x:v>
      </x:c>
      <x:c r="N18" s="52" t="str">
        <x:f>IF(I18&lt;&gt;"Yes","Deferred",IF(M18&lt;='Overview'!$B$10,"Fits","Over capacity"))</x:f>
        <x:v>Fits</x:v>
      </x:c>
      <x:c r="O18" s="105" t="str">
        <x:v>Not started</x:v>
      </x:c>
      <x:c r="P18" s="105" t="str"/>
    </x:row>
    <x:row r="19" ht="64" customHeight="1">
      <x:c r="A19" s="105" t="str">
        <x:v>Macroeconomics</x:v>
      </x:c>
      <x:c r="B19" s="52" t="n">
        <x:v>9</x:v>
      </x:c>
      <x:c r="C19" s="52" t="str">
        <x:v>9.3</x:v>
      </x:c>
      <x:c r="D19" s="52" t="str">
        <x:v>Employment/unemployment</x:v>
      </x:c>
      <x:c r="E19" s="52" t="str">
        <x:v>9.3.3</x:v>
      </x:c>
      <x:c r="F19" s="105" t="str">
        <x:v>Voluntary and involuntary unemployment.</x:v>
      </x:c>
      <x:c r="G19" s="106" t="n">
        <x:v>30</x:v>
      </x:c>
      <x:c r="H19" s="118" t="n">
        <x:v>0.25</x:v>
      </x:c>
      <x:c r="I19" s="60" t="str">
        <x:v>Yes</x:v>
      </x:c>
      <x:c r="J19" s="119" t="n">
        <x:v>0.25</x:v>
      </x:c>
      <x:c r="K19" s="107" t="n">
        <x:f>IF(I19="Yes",J19,0)</x:f>
        <x:v>0.25</x:v>
      </x:c>
      <x:c r="L19" s="107" t="n">
        <x:f>SUM($H$8:H19)</x:f>
        <x:v>9</x:v>
      </x:c>
      <x:c r="M19" s="107" t="n">
        <x:f>SUM($K$8:K19)</x:f>
        <x:v>9</x:v>
      </x:c>
      <x:c r="N19" s="52" t="str">
        <x:f>IF(I19&lt;&gt;"Yes","Deferred",IF(M19&lt;='Overview'!$B$10,"Fits","Over capacity"))</x:f>
        <x:v>Fits</x:v>
      </x:c>
      <x:c r="O19" s="105" t="str">
        <x:v>Not started</x:v>
      </x:c>
      <x:c r="P19" s="105" t="str"/>
    </x:row>
    <x:row r="20" ht="64" customHeight="1">
      <x:c r="A20" s="105" t="str">
        <x:v>Macroeconomics</x:v>
      </x:c>
      <x:c r="B20" s="52" t="n">
        <x:v>9</x:v>
      </x:c>
      <x:c r="C20" s="52" t="str">
        <x:v>9.3</x:v>
      </x:c>
      <x:c r="D20" s="52" t="str">
        <x:v>Employment/unemployment</x:v>
      </x:c>
      <x:c r="E20" s="52" t="str">
        <x:v>9.3.4</x:v>
      </x:c>
      <x:c r="F20" s="105" t="str">
        <x:v>Natural rate of unemployment: definition, determinants and policy implications.</x:v>
      </x:c>
      <x:c r="G20" s="106" t="n">
        <x:v>30</x:v>
      </x:c>
      <x:c r="H20" s="118" t="n">
        <x:v>0.75</x:v>
      </x:c>
      <x:c r="I20" s="60" t="str">
        <x:v>Yes</x:v>
      </x:c>
      <x:c r="J20" s="119" t="n">
        <x:v>0.75</x:v>
      </x:c>
      <x:c r="K20" s="107" t="n">
        <x:f>IF(I20="Yes",J20,0)</x:f>
        <x:v>0.75</x:v>
      </x:c>
      <x:c r="L20" s="107" t="n">
        <x:f>SUM($H$8:H20)</x:f>
        <x:v>9.75</x:v>
      </x:c>
      <x:c r="M20" s="107" t="n">
        <x:f>SUM($K$8:K20)</x:f>
        <x:v>9.75</x:v>
      </x:c>
      <x:c r="N20" s="52" t="str">
        <x:f>IF(I20&lt;&gt;"Yes","Deferred",IF(M20&lt;='Overview'!$B$10,"Fits","Over capacity"))</x:f>
        <x:v>Fits</x:v>
      </x:c>
      <x:c r="O20" s="105" t="str">
        <x:v>Not started</x:v>
      </x:c>
      <x:c r="P20" s="105" t="str"/>
    </x:row>
    <x:row r="21" ht="64" customHeight="1">
      <x:c r="A21" s="105" t="str">
        <x:v>Macroeconomics</x:v>
      </x:c>
      <x:c r="B21" s="52" t="n">
        <x:v>9</x:v>
      </x:c>
      <x:c r="C21" s="52" t="str">
        <x:v>9.3</x:v>
      </x:c>
      <x:c r="D21" s="52" t="str">
        <x:v>Employment/unemployment</x:v>
      </x:c>
      <x:c r="E21" s="52" t="str">
        <x:v>9.3.5</x:v>
      </x:c>
      <x:c r="F21" s="105" t="str">
        <x:v>Patterns and trends in (un)employment.</x:v>
      </x:c>
      <x:c r="G21" s="106" t="n">
        <x:v>30</x:v>
      </x:c>
      <x:c r="H21" s="118" t="n">
        <x:v>0.25</x:v>
      </x:c>
      <x:c r="I21" s="60" t="str">
        <x:v>Yes</x:v>
      </x:c>
      <x:c r="J21" s="119" t="n">
        <x:v>0.25</x:v>
      </x:c>
      <x:c r="K21" s="107" t="n">
        <x:f>IF(I21="Yes",J21,0)</x:f>
        <x:v>0.25</x:v>
      </x:c>
      <x:c r="L21" s="107" t="n">
        <x:f>SUM($H$8:H21)</x:f>
        <x:v>10</x:v>
      </x:c>
      <x:c r="M21" s="107" t="n">
        <x:f>SUM($K$8:K21)</x:f>
        <x:v>10</x:v>
      </x:c>
      <x:c r="N21" s="52" t="str">
        <x:f>IF(I21&lt;&gt;"Yes","Deferred",IF(M21&lt;='Overview'!$B$10,"Fits","Over capacity"))</x:f>
        <x:v>Fits</x:v>
      </x:c>
      <x:c r="O21" s="105" t="str">
        <x:v>Not started</x:v>
      </x:c>
      <x:c r="P21" s="105" t="str"/>
    </x:row>
    <x:row r="22" ht="64" customHeight="1">
      <x:c r="A22" s="105" t="str">
        <x:v>Macroeconomics</x:v>
      </x:c>
      <x:c r="B22" s="52" t="n">
        <x:v>9</x:v>
      </x:c>
      <x:c r="C22" s="52" t="str">
        <x:v>9.3</x:v>
      </x:c>
      <x:c r="D22" s="52" t="str">
        <x:v>Employment/unemployment</x:v>
      </x:c>
      <x:c r="E22" s="52" t="str">
        <x:v>9.3.6</x:v>
      </x:c>
      <x:c r="F22" s="105" t="str">
        <x:v>Mobility of labour: geographical and occupational mobility and the factors affecting it.</x:v>
      </x:c>
      <x:c r="G22" s="106" t="n">
        <x:v>30</x:v>
      </x:c>
      <x:c r="H22" s="118" t="n">
        <x:v>0.5</x:v>
      </x:c>
      <x:c r="I22" s="60" t="str">
        <x:v>Yes</x:v>
      </x:c>
      <x:c r="J22" s="119" t="n">
        <x:v>0.5</x:v>
      </x:c>
      <x:c r="K22" s="107" t="n">
        <x:f>IF(I22="Yes",J22,0)</x:f>
        <x:v>0.5</x:v>
      </x:c>
      <x:c r="L22" s="107" t="n">
        <x:f>SUM($H$8:H22)</x:f>
        <x:v>10.5</x:v>
      </x:c>
      <x:c r="M22" s="107" t="n">
        <x:f>SUM($K$8:K22)</x:f>
        <x:v>10.5</x:v>
      </x:c>
      <x:c r="N22" s="52" t="str">
        <x:f>IF(I22&lt;&gt;"Yes","Deferred",IF(M22&lt;='Overview'!$B$10,"Fits","Over capacity"))</x:f>
        <x:v>Fits</x:v>
      </x:c>
      <x:c r="O22" s="105" t="str">
        <x:v>Not started</x:v>
      </x:c>
      <x:c r="P22" s="105" t="str"/>
    </x:row>
    <x:row r="23" ht="64" customHeight="1">
      <x:c r="A23" s="105" t="str">
        <x:v>Macroeconomics</x:v>
      </x:c>
      <x:c r="B23" s="52" t="n">
        <x:v>9</x:v>
      </x:c>
      <x:c r="C23" s="52" t="str">
        <x:v>9.3</x:v>
      </x:c>
      <x:c r="D23" s="52" t="str">
        <x:v>Employment/unemployment</x:v>
      </x:c>
      <x:c r="E23" s="52" t="str">
        <x:v>9.3.7</x:v>
      </x:c>
      <x:c r="F23" s="105" t="str">
        <x:v>Policies to reduce unemployment and their effectiveness.</x:v>
      </x:c>
      <x:c r="G23" s="106" t="n">
        <x:v>30</x:v>
      </x:c>
      <x:c r="H23" s="118" t="n">
        <x:v>0.5</x:v>
      </x:c>
      <x:c r="I23" s="60" t="str">
        <x:v>Yes</x:v>
      </x:c>
      <x:c r="J23" s="119" t="n">
        <x:v>0.5</x:v>
      </x:c>
      <x:c r="K23" s="107" t="n">
        <x:f>IF(I23="Yes",J23,0)</x:f>
        <x:v>0.5</x:v>
      </x:c>
      <x:c r="L23" s="107" t="n">
        <x:f>SUM($H$8:H23)</x:f>
        <x:v>11</x:v>
      </x:c>
      <x:c r="M23" s="107" t="n">
        <x:f>SUM($K$8:K23)</x:f>
        <x:v>11</x:v>
      </x:c>
      <x:c r="N23" s="52" t="str">
        <x:f>IF(I23&lt;&gt;"Yes","Deferred",IF(M23&lt;='Overview'!$B$10,"Fits","Over capacity"))</x:f>
        <x:v>Fits</x:v>
      </x:c>
      <x:c r="O23" s="105" t="str">
        <x:v>Not started</x:v>
      </x:c>
      <x:c r="P23" s="105" t="str"/>
    </x:row>
    <x:row r="24" ht="64" customHeight="1">
      <x:c r="A24" s="105" t="str">
        <x:v>Macroeconomics</x:v>
      </x:c>
      <x:c r="B24" s="52" t="n">
        <x:v>9</x:v>
      </x:c>
      <x:c r="C24" s="52" t="str">
        <x:v>9.4</x:v>
      </x:c>
      <x:c r="D24" s="52" t="str">
        <x:v>Money and banking</x:v>
      </x:c>
      <x:c r="E24" s="52" t="str">
        <x:v>9.4.1</x:v>
      </x:c>
      <x:c r="F24" s="105" t="str">
        <x:v>Definition, functions and characteristics of money.</x:v>
      </x:c>
      <x:c r="G24" s="106" t="n">
        <x:v>31</x:v>
      </x:c>
      <x:c r="H24" s="118" t="n">
        <x:v>0.5</x:v>
      </x:c>
      <x:c r="I24" s="60" t="str">
        <x:v>Yes</x:v>
      </x:c>
      <x:c r="J24" s="119" t="n">
        <x:v>0.5</x:v>
      </x:c>
      <x:c r="K24" s="107" t="n">
        <x:f>IF(I24="Yes",J24,0)</x:f>
        <x:v>0.5</x:v>
      </x:c>
      <x:c r="L24" s="107" t="n">
        <x:f>SUM($H$8:H24)</x:f>
        <x:v>11.5</x:v>
      </x:c>
      <x:c r="M24" s="107" t="n">
        <x:f>SUM($K$8:K24)</x:f>
        <x:v>11.5</x:v>
      </x:c>
      <x:c r="N24" s="52" t="str">
        <x:f>IF(I24&lt;&gt;"Yes","Deferred",IF(M24&lt;='Overview'!$B$10,"Fits","Over capacity"))</x:f>
        <x:v>Fits</x:v>
      </x:c>
      <x:c r="O24" s="105" t="str">
        <x:v>Not started</x:v>
      </x:c>
      <x:c r="P24" s="105" t="str"/>
    </x:row>
    <x:row r="25" ht="64" customHeight="1">
      <x:c r="A25" s="105" t="str">
        <x:v>Macroeconomics</x:v>
      </x:c>
      <x:c r="B25" s="52" t="n">
        <x:v>9</x:v>
      </x:c>
      <x:c r="C25" s="52" t="str">
        <x:v>9.4</x:v>
      </x:c>
      <x:c r="D25" s="52" t="str">
        <x:v>Money and banking</x:v>
      </x:c>
      <x:c r="E25" s="52" t="str">
        <x:v>9.4.2</x:v>
      </x:c>
      <x:c r="F25" s="105" t="str">
        <x:v>Definition of money supply.</x:v>
      </x:c>
      <x:c r="G25" s="106" t="n">
        <x:v>31</x:v>
      </x:c>
      <x:c r="H25" s="118" t="n">
        <x:v>0.25</x:v>
      </x:c>
      <x:c r="I25" s="60" t="str">
        <x:v>Yes</x:v>
      </x:c>
      <x:c r="J25" s="119" t="n">
        <x:v>0.25</x:v>
      </x:c>
      <x:c r="K25" s="107" t="n">
        <x:f>IF(I25="Yes",J25,0)</x:f>
        <x:v>0.25</x:v>
      </x:c>
      <x:c r="L25" s="107" t="n">
        <x:f>SUM($H$8:H25)</x:f>
        <x:v>11.75</x:v>
      </x:c>
      <x:c r="M25" s="107" t="n">
        <x:f>SUM($K$8:K25)</x:f>
        <x:v>11.75</x:v>
      </x:c>
      <x:c r="N25" s="52" t="str">
        <x:f>IF(I25&lt;&gt;"Yes","Deferred",IF(M25&lt;='Overview'!$B$10,"Fits","Over capacity"))</x:f>
        <x:v>Fits</x:v>
      </x:c>
      <x:c r="O25" s="105" t="str">
        <x:v>Not started</x:v>
      </x:c>
      <x:c r="P25" s="105" t="str"/>
    </x:row>
    <x:row r="26" ht="64" customHeight="1">
      <x:c r="A26" s="105" t="str">
        <x:v>Macroeconomics</x:v>
      </x:c>
      <x:c r="B26" s="52" t="n">
        <x:v>9</x:v>
      </x:c>
      <x:c r="C26" s="52" t="str">
        <x:v>9.4</x:v>
      </x:c>
      <x:c r="D26" s="52" t="str">
        <x:v>Money and banking</x:v>
      </x:c>
      <x:c r="E26" s="52" t="str">
        <x:v>9.4.3</x:v>
      </x:c>
      <x:c r="F26" s="105" t="str">
        <x:v>Quantity theory of money (MV = PT).</x:v>
      </x:c>
      <x:c r="G26" s="106" t="n">
        <x:v>31</x:v>
      </x:c>
      <x:c r="H26" s="118" t="n">
        <x:v>0.75</x:v>
      </x:c>
      <x:c r="I26" s="60" t="str">
        <x:v>Yes</x:v>
      </x:c>
      <x:c r="J26" s="119" t="n">
        <x:v>0.75</x:v>
      </x:c>
      <x:c r="K26" s="107" t="n">
        <x:f>IF(I26="Yes",J26,0)</x:f>
        <x:v>0.75</x:v>
      </x:c>
      <x:c r="L26" s="107" t="n">
        <x:f>SUM($H$8:H26)</x:f>
        <x:v>12.5</x:v>
      </x:c>
      <x:c r="M26" s="107" t="n">
        <x:f>SUM($K$8:K26)</x:f>
        <x:v>12.5</x:v>
      </x:c>
      <x:c r="N26" s="52" t="str">
        <x:f>IF(I26&lt;&gt;"Yes","Deferred",IF(M26&lt;='Overview'!$B$10,"Fits","Over capacity"))</x:f>
        <x:v>Fits</x:v>
      </x:c>
      <x:c r="O26" s="105" t="str">
        <x:v>Not started</x:v>
      </x:c>
      <x:c r="P26" s="105" t="str"/>
    </x:row>
    <x:row r="27" ht="64" customHeight="1">
      <x:c r="A27" s="105" t="str">
        <x:v>Macroeconomics</x:v>
      </x:c>
      <x:c r="B27" s="52" t="n">
        <x:v>9</x:v>
      </x:c>
      <x:c r="C27" s="52" t="str">
        <x:v>9.4</x:v>
      </x:c>
      <x:c r="D27" s="52" t="str">
        <x:v>Money and banking</x:v>
      </x:c>
      <x:c r="E27" s="52" t="str">
        <x:v>9.4.4</x:v>
      </x:c>
      <x:c r="F27" s="105" t="str">
        <x:v>Functions of commercial banks: deposit accounts; lending; assets and liabilities; reserve and capital ratios; liquidity, security and profitability objectives.</x:v>
      </x:c>
      <x:c r="G27" s="106" t="n">
        <x:v>31</x:v>
      </x:c>
      <x:c r="H27" s="118" t="n">
        <x:v>1</x:v>
      </x:c>
      <x:c r="I27" s="60" t="str">
        <x:v>Yes</x:v>
      </x:c>
      <x:c r="J27" s="119" t="n">
        <x:v>1</x:v>
      </x:c>
      <x:c r="K27" s="107" t="n">
        <x:f>IF(I27="Yes",J27,0)</x:f>
        <x:v>1</x:v>
      </x:c>
      <x:c r="L27" s="107" t="n">
        <x:f>SUM($H$8:H27)</x:f>
        <x:v>13.5</x:v>
      </x:c>
      <x:c r="M27" s="107" t="n">
        <x:f>SUM($K$8:K27)</x:f>
        <x:v>13.5</x:v>
      </x:c>
      <x:c r="N27" s="52" t="str">
        <x:f>IF(I27&lt;&gt;"Yes","Deferred",IF(M27&lt;='Overview'!$B$10,"Fits","Over capacity"))</x:f>
        <x:v>Fits</x:v>
      </x:c>
      <x:c r="O27" s="105" t="str">
        <x:v>Not started</x:v>
      </x:c>
      <x:c r="P27" s="105" t="str"/>
    </x:row>
    <x:row r="28" ht="64" customHeight="1">
      <x:c r="A28" s="105" t="str">
        <x:v>Macroeconomics</x:v>
      </x:c>
      <x:c r="B28" s="52" t="n">
        <x:v>9</x:v>
      </x:c>
      <x:c r="C28" s="52" t="str">
        <x:v>9.4</x:v>
      </x:c>
      <x:c r="D28" s="52" t="str">
        <x:v>Money and banking</x:v>
      </x:c>
      <x:c r="E28" s="52" t="str">
        <x:v>9.4.5</x:v>
      </x:c>
      <x:c r="F28" s="105" t="str">
        <x:v>Causes of changes in money supply in an open economy: credit creation and bank credit multiplier; central bank; deficit financing; quantitative easing; balance of payments changes.</x:v>
      </x:c>
      <x:c r="G28" s="106" t="n">
        <x:v>31</x:v>
      </x:c>
      <x:c r="H28" s="118" t="n">
        <x:v>1.25</x:v>
      </x:c>
      <x:c r="I28" s="60" t="str">
        <x:v>Yes</x:v>
      </x:c>
      <x:c r="J28" s="119" t="n">
        <x:v>1.25</x:v>
      </x:c>
      <x:c r="K28" s="107" t="n">
        <x:f>IF(I28="Yes",J28,0)</x:f>
        <x:v>1.25</x:v>
      </x:c>
      <x:c r="L28" s="107" t="n">
        <x:f>SUM($H$8:H28)</x:f>
        <x:v>14.75</x:v>
      </x:c>
      <x:c r="M28" s="107" t="n">
        <x:f>SUM($K$8:K28)</x:f>
        <x:v>14.75</x:v>
      </x:c>
      <x:c r="N28" s="52" t="str">
        <x:f>IF(I28&lt;&gt;"Yes","Deferred",IF(M28&lt;='Overview'!$B$10,"Fits","Over capacity"))</x:f>
        <x:v>Fits</x:v>
      </x:c>
      <x:c r="O28" s="105" t="str">
        <x:v>Not started</x:v>
      </x:c>
      <x:c r="P28" s="105" t="str"/>
    </x:row>
    <x:row r="29" ht="64" customHeight="1">
      <x:c r="A29" s="105" t="str">
        <x:v>Macroeconomics</x:v>
      </x:c>
      <x:c r="B29" s="52" t="n">
        <x:v>9</x:v>
      </x:c>
      <x:c r="C29" s="52" t="str">
        <x:v>9.4</x:v>
      </x:c>
      <x:c r="D29" s="52" t="str">
        <x:v>Money and banking</x:v>
      </x:c>
      <x:c r="E29" s="52" t="str">
        <x:v>9.4.6</x:v>
      </x:c>
      <x:c r="F29" s="105" t="str">
        <x:v>Policies to reduce inflation and their effectiveness.</x:v>
      </x:c>
      <x:c r="G29" s="106" t="n">
        <x:v>31</x:v>
      </x:c>
      <x:c r="H29" s="118" t="n">
        <x:v>0.5</x:v>
      </x:c>
      <x:c r="I29" s="60" t="str">
        <x:v>Yes</x:v>
      </x:c>
      <x:c r="J29" s="119" t="n">
        <x:v>0.5</x:v>
      </x:c>
      <x:c r="K29" s="107" t="n">
        <x:f>IF(I29="Yes",J29,0)</x:f>
        <x:v>0.5</x:v>
      </x:c>
      <x:c r="L29" s="107" t="n">
        <x:f>SUM($H$8:H29)</x:f>
        <x:v>15.25</x:v>
      </x:c>
      <x:c r="M29" s="107" t="n">
        <x:f>SUM($K$8:K29)</x:f>
        <x:v>15.25</x:v>
      </x:c>
      <x:c r="N29" s="52" t="str">
        <x:f>IF(I29&lt;&gt;"Yes","Deferred",IF(M29&lt;='Overview'!$B$10,"Fits","Over capacity"))</x:f>
        <x:v>Fits</x:v>
      </x:c>
      <x:c r="O29" s="105" t="str">
        <x:v>Not started</x:v>
      </x:c>
      <x:c r="P29" s="105" t="str"/>
    </x:row>
    <x:row r="30" ht="64" customHeight="1">
      <x:c r="A30" s="105" t="str">
        <x:v>Macroeconomics</x:v>
      </x:c>
      <x:c r="B30" s="52" t="n">
        <x:v>9</x:v>
      </x:c>
      <x:c r="C30" s="52" t="str">
        <x:v>9.4</x:v>
      </x:c>
      <x:c r="D30" s="52" t="str">
        <x:v>Money and banking</x:v>
      </x:c>
      <x:c r="E30" s="52" t="str">
        <x:v>9.4.7</x:v>
      </x:c>
      <x:c r="F30" s="105" t="str">
        <x:v>Demand for money: liquidity preference theory.</x:v>
      </x:c>
      <x:c r="G30" s="106" t="n">
        <x:v>31</x:v>
      </x:c>
      <x:c r="H30" s="118" t="n">
        <x:v>0.25</x:v>
      </x:c>
      <x:c r="I30" s="60" t="str">
        <x:v>Yes</x:v>
      </x:c>
      <x:c r="J30" s="119" t="n">
        <x:v>0.25</x:v>
      </x:c>
      <x:c r="K30" s="107" t="n">
        <x:f>IF(I30="Yes",J30,0)</x:f>
        <x:v>0.25</x:v>
      </x:c>
      <x:c r="L30" s="107" t="n">
        <x:f>SUM($H$8:H30)</x:f>
        <x:v>15.5</x:v>
      </x:c>
      <x:c r="M30" s="107" t="n">
        <x:f>SUM($K$8:K30)</x:f>
        <x:v>15.5</x:v>
      </x:c>
      <x:c r="N30" s="52" t="str">
        <x:f>IF(I30&lt;&gt;"Yes","Deferred",IF(M30&lt;='Overview'!$B$10,"Fits","Over capacity"))</x:f>
        <x:v>Fits</x:v>
      </x:c>
      <x:c r="O30" s="105" t="str">
        <x:v>Not started</x:v>
      </x:c>
      <x:c r="P30" s="105" t="str"/>
    </x:row>
    <x:row r="31" ht="64" customHeight="1">
      <x:c r="A31" s="105" t="str">
        <x:v>Macroeconomics</x:v>
      </x:c>
      <x:c r="B31" s="52" t="n">
        <x:v>9</x:v>
      </x:c>
      <x:c r="C31" s="52" t="str">
        <x:v>9.4</x:v>
      </x:c>
      <x:c r="D31" s="52" t="str">
        <x:v>Money and banking</x:v>
      </x:c>
      <x:c r="E31" s="52" t="str">
        <x:v>9.4.8</x:v>
      </x:c>
      <x:c r="F31" s="105" t="str">
        <x:v>Interest rate determination: loanable funds theory and Keynesian theory.</x:v>
      </x:c>
      <x:c r="G31" s="106" t="n">
        <x:v>31</x:v>
      </x:c>
      <x:c r="H31" s="118" t="n">
        <x:v>0.5</x:v>
      </x:c>
      <x:c r="I31" s="60" t="str">
        <x:v>Yes</x:v>
      </x:c>
      <x:c r="J31" s="119" t="n">
        <x:v>0.5</x:v>
      </x:c>
      <x:c r="K31" s="107" t="n">
        <x:f>IF(I31="Yes",J31,0)</x:f>
        <x:v>0.5</x:v>
      </x:c>
      <x:c r="L31" s="107" t="n">
        <x:f>SUM($H$8:H31)</x:f>
        <x:v>16</x:v>
      </x:c>
      <x:c r="M31" s="107" t="n">
        <x:f>SUM($K$8:K31)</x:f>
        <x:v>16</x:v>
      </x:c>
      <x:c r="N31" s="52" t="str">
        <x:f>IF(I31&lt;&gt;"Yes","Deferred",IF(M31&lt;='Overview'!$B$10,"Fits","Over capacity"))</x:f>
        <x:v>Fits</x:v>
      </x:c>
      <x:c r="O31" s="105" t="str">
        <x:v>Not started</x:v>
      </x:c>
      <x:c r="P31" s="105" t="str"/>
    </x:row>
    <x:row r="32" ht="64" customHeight="1">
      <x:c r="A32" s="105" t="str">
        <x:v>Macroeconomics</x:v>
      </x:c>
      <x:c r="B32" s="52" t="n">
        <x:v>10</x:v>
      </x:c>
      <x:c r="C32" s="52" t="str">
        <x:v>10.1</x:v>
      </x:c>
      <x:c r="D32" s="52" t="str">
        <x:v>Government macroeconomic policy objectives</x:v>
      </x:c>
      <x:c r="E32" s="52" t="str">
        <x:v>10.1.1</x:v>
      </x:c>
      <x:c r="F32" s="105" t="str">
        <x:v>Objectives in terms of inflation, balance of payments, unemployment, growth, development, sustainability and redistribution of income and wealth.</x:v>
      </x:c>
      <x:c r="G32" s="106" t="n">
        <x:v>31</x:v>
      </x:c>
      <x:c r="H32" s="118" t="n">
        <x:v>1</x:v>
      </x:c>
      <x:c r="I32" s="60" t="str">
        <x:v>Yes</x:v>
      </x:c>
      <x:c r="J32" s="119" t="n">
        <x:v>1</x:v>
      </x:c>
      <x:c r="K32" s="107" t="n">
        <x:f>IF(I32="Yes",J32,0)</x:f>
        <x:v>1</x:v>
      </x:c>
      <x:c r="L32" s="107" t="n">
        <x:f>SUM($H$8:H32)</x:f>
        <x:v>17</x:v>
      </x:c>
      <x:c r="M32" s="107" t="n">
        <x:f>SUM($K$8:K32)</x:f>
        <x:v>17</x:v>
      </x:c>
      <x:c r="N32" s="52" t="str">
        <x:f>IF(I32&lt;&gt;"Yes","Deferred",IF(M32&lt;='Overview'!$B$10,"Fits","Over capacity"))</x:f>
        <x:v>Fits</x:v>
      </x:c>
      <x:c r="O32" s="105" t="str">
        <x:v>Not started</x:v>
      </x:c>
      <x:c r="P32" s="105" t="str"/>
    </x:row>
    <x:row r="33" ht="64" customHeight="1">
      <x:c r="A33" s="105" t="str">
        <x:v>Macroeconomics</x:v>
      </x:c>
      <x:c r="B33" s="52" t="n">
        <x:v>10</x:v>
      </x:c>
      <x:c r="C33" s="52" t="str">
        <x:v>10.2</x:v>
      </x:c>
      <x:c r="D33" s="52" t="str">
        <x:v>Links between macroeconomic problems</x:v>
      </x:c>
      <x:c r="E33" s="52" t="str">
        <x:v>10.2.1</x:v>
      </x:c>
      <x:c r="F33" s="105" t="str">
        <x:v>Relationship between the internal value of money and the external value of money.</x:v>
      </x:c>
      <x:c r="G33" s="106" t="n">
        <x:v>31</x:v>
      </x:c>
      <x:c r="H33" s="118" t="n">
        <x:v>0.5</x:v>
      </x:c>
      <x:c r="I33" s="60" t="str">
        <x:v>Yes</x:v>
      </x:c>
      <x:c r="J33" s="119" t="n">
        <x:v>0.5</x:v>
      </x:c>
      <x:c r="K33" s="107" t="n">
        <x:f>IF(I33="Yes",J33,0)</x:f>
        <x:v>0.5</x:v>
      </x:c>
      <x:c r="L33" s="107" t="n">
        <x:f>SUM($H$8:H33)</x:f>
        <x:v>17.5</x:v>
      </x:c>
      <x:c r="M33" s="107" t="n">
        <x:f>SUM($K$8:K33)</x:f>
        <x:v>17.5</x:v>
      </x:c>
      <x:c r="N33" s="52" t="str">
        <x:f>IF(I33&lt;&gt;"Yes","Deferred",IF(M33&lt;='Overview'!$B$10,"Fits","Over capacity"))</x:f>
        <x:v>Fits</x:v>
      </x:c>
      <x:c r="O33" s="105" t="str">
        <x:v>Not started</x:v>
      </x:c>
      <x:c r="P33" s="105" t="str"/>
    </x:row>
    <x:row r="34" ht="64" customHeight="1">
      <x:c r="A34" s="105" t="str">
        <x:v>Macroeconomics</x:v>
      </x:c>
      <x:c r="B34" s="52" t="n">
        <x:v>10</x:v>
      </x:c>
      <x:c r="C34" s="52" t="str">
        <x:v>10.2</x:v>
      </x:c>
      <x:c r="D34" s="52" t="str">
        <x:v>Links between macroeconomic problems</x:v>
      </x:c>
      <x:c r="E34" s="52" t="str">
        <x:v>10.2.2</x:v>
      </x:c>
      <x:c r="F34" s="105" t="str">
        <x:v>Relationship between the balance of payments and inflation.</x:v>
      </x:c>
      <x:c r="G34" s="106" t="n">
        <x:v>31</x:v>
      </x:c>
      <x:c r="H34" s="118" t="n">
        <x:v>0.5</x:v>
      </x:c>
      <x:c r="I34" s="60" t="str">
        <x:v>Yes</x:v>
      </x:c>
      <x:c r="J34" s="119" t="n">
        <x:v>0.5</x:v>
      </x:c>
      <x:c r="K34" s="107" t="n">
        <x:f>IF(I34="Yes",J34,0)</x:f>
        <x:v>0.5</x:v>
      </x:c>
      <x:c r="L34" s="107" t="n">
        <x:f>SUM($H$8:H34)</x:f>
        <x:v>18</x:v>
      </x:c>
      <x:c r="M34" s="107" t="n">
        <x:f>SUM($K$8:K34)</x:f>
        <x:v>18</x:v>
      </x:c>
      <x:c r="N34" s="52" t="str">
        <x:f>IF(I34&lt;&gt;"Yes","Deferred",IF(M34&lt;='Overview'!$B$10,"Fits","Over capacity"))</x:f>
        <x:v>Fits</x:v>
      </x:c>
      <x:c r="O34" s="105" t="str">
        <x:v>Not started</x:v>
      </x:c>
      <x:c r="P34" s="105" t="str"/>
    </x:row>
    <x:row r="35" ht="64" customHeight="1">
      <x:c r="A35" s="105" t="str">
        <x:v>Macroeconomics</x:v>
      </x:c>
      <x:c r="B35" s="52" t="n">
        <x:v>10</x:v>
      </x:c>
      <x:c r="C35" s="52" t="str">
        <x:v>10.2</x:v>
      </x:c>
      <x:c r="D35" s="52" t="str">
        <x:v>Links between macroeconomic problems</x:v>
      </x:c>
      <x:c r="E35" s="52" t="str">
        <x:v>10.2.3</x:v>
      </x:c>
      <x:c r="F35" s="105" t="str">
        <x:v>Relationship between growth and inflation.</x:v>
      </x:c>
      <x:c r="G35" s="106" t="n">
        <x:v>31</x:v>
      </x:c>
      <x:c r="H35" s="118" t="n">
        <x:v>0.5</x:v>
      </x:c>
      <x:c r="I35" s="60" t="str">
        <x:v>Yes</x:v>
      </x:c>
      <x:c r="J35" s="119" t="n">
        <x:v>0.5</x:v>
      </x:c>
      <x:c r="K35" s="107" t="n">
        <x:f>IF(I35="Yes",J35,0)</x:f>
        <x:v>0.5</x:v>
      </x:c>
      <x:c r="L35" s="107" t="n">
        <x:f>SUM($H$8:H35)</x:f>
        <x:v>18.5</x:v>
      </x:c>
      <x:c r="M35" s="107" t="n">
        <x:f>SUM($K$8:K35)</x:f>
        <x:v>18.5</x:v>
      </x:c>
      <x:c r="N35" s="52" t="str">
        <x:f>IF(I35&lt;&gt;"Yes","Deferred",IF(M35&lt;='Overview'!$B$10,"Fits","Over capacity"))</x:f>
        <x:v>Fits</x:v>
      </x:c>
      <x:c r="O35" s="105" t="str">
        <x:v>Not started</x:v>
      </x:c>
      <x:c r="P35" s="105" t="str"/>
    </x:row>
    <x:row r="36" ht="64" customHeight="1">
      <x:c r="A36" s="105" t="str">
        <x:v>Macroeconomics</x:v>
      </x:c>
      <x:c r="B36" s="52" t="n">
        <x:v>10</x:v>
      </x:c>
      <x:c r="C36" s="52" t="str">
        <x:v>10.2</x:v>
      </x:c>
      <x:c r="D36" s="52" t="str">
        <x:v>Links between macroeconomic problems</x:v>
      </x:c>
      <x:c r="E36" s="52" t="str">
        <x:v>10.2.4</x:v>
      </x:c>
      <x:c r="F36" s="105" t="str">
        <x:v>Relationship between growth and the balance of payments.</x:v>
      </x:c>
      <x:c r="G36" s="106" t="n">
        <x:v>31</x:v>
      </x:c>
      <x:c r="H36" s="118" t="n">
        <x:v>0.5</x:v>
      </x:c>
      <x:c r="I36" s="60" t="str">
        <x:v>Yes</x:v>
      </x:c>
      <x:c r="J36" s="119" t="n">
        <x:v>0.5</x:v>
      </x:c>
      <x:c r="K36" s="107" t="n">
        <x:f>IF(I36="Yes",J36,0)</x:f>
        <x:v>0.5</x:v>
      </x:c>
      <x:c r="L36" s="107" t="n">
        <x:f>SUM($H$8:H36)</x:f>
        <x:v>19</x:v>
      </x:c>
      <x:c r="M36" s="107" t="n">
        <x:f>SUM($K$8:K36)</x:f>
        <x:v>19</x:v>
      </x:c>
      <x:c r="N36" s="52" t="str">
        <x:f>IF(I36&lt;&gt;"Yes","Deferred",IF(M36&lt;='Overview'!$B$10,"Fits","Over capacity"))</x:f>
        <x:v>Fits</x:v>
      </x:c>
      <x:c r="O36" s="105" t="str">
        <x:v>Not started</x:v>
      </x:c>
      <x:c r="P36" s="105" t="str"/>
    </x:row>
    <x:row r="37" ht="64" customHeight="1">
      <x:c r="A37" s="105" t="str">
        <x:v>Macroeconomics</x:v>
      </x:c>
      <x:c r="B37" s="52" t="n">
        <x:v>10</x:v>
      </x:c>
      <x:c r="C37" s="52" t="str">
        <x:v>10.2</x:v>
      </x:c>
      <x:c r="D37" s="52" t="str">
        <x:v>Links between macroeconomic problems</x:v>
      </x:c>
      <x:c r="E37" s="52" t="str">
        <x:v>10.2.5</x:v>
      </x:c>
      <x:c r="F37" s="105" t="str">
        <x:v>Relationship between inflation and unemployment: traditional Phillips curve and expectations-augmented short- and long-run Phillips curves.</x:v>
      </x:c>
      <x:c r="G37" s="106" t="n">
        <x:v>31</x:v>
      </x:c>
      <x:c r="H37" s="118" t="n">
        <x:v>1</x:v>
      </x:c>
      <x:c r="I37" s="60" t="str">
        <x:v>Yes</x:v>
      </x:c>
      <x:c r="J37" s="119" t="n">
        <x:v>1</x:v>
      </x:c>
      <x:c r="K37" s="107" t="n">
        <x:f>IF(I37="Yes",J37,0)</x:f>
        <x:v>1</x:v>
      </x:c>
      <x:c r="L37" s="107" t="n">
        <x:f>SUM($H$8:H37)</x:f>
        <x:v>20</x:v>
      </x:c>
      <x:c r="M37" s="107" t="n">
        <x:f>SUM($K$8:K37)</x:f>
        <x:v>20</x:v>
      </x:c>
      <x:c r="N37" s="52" t="str">
        <x:f>IF(I37&lt;&gt;"Yes","Deferred",IF(M37&lt;='Overview'!$B$10,"Fits","Over capacity"))</x:f>
        <x:v>Fits</x:v>
      </x:c>
      <x:c r="O37" s="105" t="str">
        <x:v>Not started</x:v>
      </x:c>
      <x:c r="P37" s="105" t="str"/>
    </x:row>
    <x:row r="38" ht="64" customHeight="1">
      <x:c r="A38" s="105" t="str">
        <x:v>Macroeconomics</x:v>
      </x:c>
      <x:c r="B38" s="52" t="n">
        <x:v>10</x:v>
      </x:c>
      <x:c r="C38" s="52" t="str">
        <x:v>10.3</x:v>
      </x:c>
      <x:c r="D38" s="52" t="str">
        <x:v>Effectiveness of macroeconomic policy options</x:v>
      </x:c>
      <x:c r="E38" s="52" t="str">
        <x:v>10.3.1</x:v>
      </x:c>
      <x:c r="F38" s="105" t="str">
        <x:v>Effectiveness of fiscal policy (including Laffer curve analysis), monetary policy, market-based and interventionist supply-side policy, exchange rate policy and international trade policy.</x:v>
      </x:c>
      <x:c r="G38" s="106" t="n">
        <x:v>32</x:v>
      </x:c>
      <x:c r="H38" s="118" t="n">
        <x:v>1.75</x:v>
      </x:c>
      <x:c r="I38" s="60" t="str">
        <x:v>Yes</x:v>
      </x:c>
      <x:c r="J38" s="119" t="n">
        <x:v>1.75</x:v>
      </x:c>
      <x:c r="K38" s="107" t="n">
        <x:f>IF(I38="Yes",J38,0)</x:f>
        <x:v>1.75</x:v>
      </x:c>
      <x:c r="L38" s="107" t="n">
        <x:f>SUM($H$8:H38)</x:f>
        <x:v>21.75</x:v>
      </x:c>
      <x:c r="M38" s="107" t="n">
        <x:f>SUM($K$8:K38)</x:f>
        <x:v>21.75</x:v>
      </x:c>
      <x:c r="N38" s="52" t="str">
        <x:f>IF(I38&lt;&gt;"Yes","Deferred",IF(M38&lt;='Overview'!$B$10,"Fits","Over capacity"))</x:f>
        <x:v>Fits</x:v>
      </x:c>
      <x:c r="O38" s="105" t="str">
        <x:v>Not started</x:v>
      </x:c>
      <x:c r="P38" s="105" t="str"/>
    </x:row>
    <x:row r="39" ht="64" customHeight="1">
      <x:c r="A39" s="105" t="str">
        <x:v>Macroeconomics</x:v>
      </x:c>
      <x:c r="B39" s="52" t="n">
        <x:v>10</x:v>
      </x:c>
      <x:c r="C39" s="52" t="str">
        <x:v>10.3</x:v>
      </x:c>
      <x:c r="D39" s="52" t="str">
        <x:v>Effectiveness of macroeconomic policy options</x:v>
      </x:c>
      <x:c r="E39" s="52" t="str">
        <x:v>10.3.2</x:v>
      </x:c>
      <x:c r="F39" s="105" t="str">
        <x:v>Problems and conflicts arising from the outcomes of these policies.</x:v>
      </x:c>
      <x:c r="G39" s="106" t="n">
        <x:v>32</x:v>
      </x:c>
      <x:c r="H39" s="118" t="n">
        <x:v>0.75</x:v>
      </x:c>
      <x:c r="I39" s="60" t="str">
        <x:v>Yes</x:v>
      </x:c>
      <x:c r="J39" s="119" t="n">
        <x:v>0.75</x:v>
      </x:c>
      <x:c r="K39" s="107" t="n">
        <x:f>IF(I39="Yes",J39,0)</x:f>
        <x:v>0.75</x:v>
      </x:c>
      <x:c r="L39" s="107" t="n">
        <x:f>SUM($H$8:H39)</x:f>
        <x:v>22.5</x:v>
      </x:c>
      <x:c r="M39" s="107" t="n">
        <x:f>SUM($K$8:K39)</x:f>
        <x:v>22.5</x:v>
      </x:c>
      <x:c r="N39" s="52" t="str">
        <x:f>IF(I39&lt;&gt;"Yes","Deferred",IF(M39&lt;='Overview'!$B$10,"Fits","Over capacity"))</x:f>
        <x:v>Fits</x:v>
      </x:c>
      <x:c r="O39" s="105" t="str">
        <x:v>Not started</x:v>
      </x:c>
      <x:c r="P39" s="105" t="str"/>
    </x:row>
    <x:row r="40" ht="64" customHeight="1">
      <x:c r="A40" s="105" t="str">
        <x:v>Macroeconomics</x:v>
      </x:c>
      <x:c r="B40" s="52" t="n">
        <x:v>10</x:v>
      </x:c>
      <x:c r="C40" s="52" t="str">
        <x:v>10.3</x:v>
      </x:c>
      <x:c r="D40" s="52" t="str">
        <x:v>Effectiveness of macroeconomic policy options</x:v>
      </x:c>
      <x:c r="E40" s="52" t="str">
        <x:v>10.3.3</x:v>
      </x:c>
      <x:c r="F40" s="105" t="str">
        <x:v>Existence of government failure in macroeconomic policies.</x:v>
      </x:c>
      <x:c r="G40" s="106" t="n">
        <x:v>32</x:v>
      </x:c>
      <x:c r="H40" s="118" t="n">
        <x:v>0.5</x:v>
      </x:c>
      <x:c r="I40" s="60" t="str">
        <x:v>Yes</x:v>
      </x:c>
      <x:c r="J40" s="119" t="n">
        <x:v>0.5</x:v>
      </x:c>
      <x:c r="K40" s="107" t="n">
        <x:f>IF(I40="Yes",J40,0)</x:f>
        <x:v>0.5</x:v>
      </x:c>
      <x:c r="L40" s="107" t="n">
        <x:f>SUM($H$8:H40)</x:f>
        <x:v>23</x:v>
      </x:c>
      <x:c r="M40" s="107" t="n">
        <x:f>SUM($K$8:K40)</x:f>
        <x:v>23</x:v>
      </x:c>
      <x:c r="N40" s="52" t="str">
        <x:f>IF(I40&lt;&gt;"Yes","Deferred",IF(M40&lt;='Overview'!$B$10,"Fits","Over capacity"))</x:f>
        <x:v>Fits</x:v>
      </x:c>
      <x:c r="O40" s="105" t="str">
        <x:v>Not started</x:v>
      </x:c>
      <x:c r="P40" s="105" t="str"/>
    </x:row>
    <x:row r="41" ht="64" customHeight="1">
      <x:c r="A41" s="105" t="str">
        <x:v>International economics</x:v>
      </x:c>
      <x:c r="B41" s="52" t="n">
        <x:v>11</x:v>
      </x:c>
      <x:c r="C41" s="52" t="str">
        <x:v>11.1</x:v>
      </x:c>
      <x:c r="D41" s="52" t="str">
        <x:v>Policies to correct balance-of-payments disequilibrium</x:v>
      </x:c>
      <x:c r="E41" s="52" t="str">
        <x:v>11.1.1</x:v>
      </x:c>
      <x:c r="F41" s="105" t="str">
        <x:v>Components of the balance of payments accounts: current account, financial account and capital account.</x:v>
      </x:c>
      <x:c r="G41" s="106" t="n">
        <x:v>32</x:v>
      </x:c>
      <x:c r="H41" s="118" t="n">
        <x:v>0.75</x:v>
      </x:c>
      <x:c r="I41" s="60" t="str">
        <x:v>Yes</x:v>
      </x:c>
      <x:c r="J41" s="119" t="n">
        <x:v>0.75</x:v>
      </x:c>
      <x:c r="K41" s="107" t="n">
        <x:f>IF(I41="Yes",J41,0)</x:f>
        <x:v>0.75</x:v>
      </x:c>
      <x:c r="L41" s="107" t="n">
        <x:f>SUM($H$8:H41)</x:f>
        <x:v>23.75</x:v>
      </x:c>
      <x:c r="M41" s="107" t="n">
        <x:f>SUM($K$8:K41)</x:f>
        <x:v>23.75</x:v>
      </x:c>
      <x:c r="N41" s="52" t="str">
        <x:f>IF(I41&lt;&gt;"Yes","Deferred",IF(M41&lt;='Overview'!$B$10,"Fits","Over capacity"))</x:f>
        <x:v>Fits</x:v>
      </x:c>
      <x:c r="O41" s="105" t="str">
        <x:v>Not started</x:v>
      </x:c>
      <x:c r="P41" s="105" t="str"/>
    </x:row>
    <x:row r="42" ht="64" customHeight="1">
      <x:c r="A42" s="105" t="str">
        <x:v>International economics</x:v>
      </x:c>
      <x:c r="B42" s="52" t="n">
        <x:v>11</x:v>
      </x:c>
      <x:c r="C42" s="52" t="str">
        <x:v>11.1</x:v>
      </x:c>
      <x:c r="D42" s="52" t="str">
        <x:v>Policies to correct balance-of-payments disequilibrium</x:v>
      </x:c>
      <x:c r="E42" s="52" t="str">
        <x:v>11.1.2</x:v>
      </x:c>
      <x:c r="F42" s="105" t="str">
        <x:v>Effects of fiscal, monetary, supply-side, protectionist and exchange rate policies on the balance of payments.</x:v>
      </x:c>
      <x:c r="G42" s="106" t="n">
        <x:v>32</x:v>
      </x:c>
      <x:c r="H42" s="118" t="n">
        <x:v>0.75</x:v>
      </x:c>
      <x:c r="I42" s="60" t="str">
        <x:v>Yes</x:v>
      </x:c>
      <x:c r="J42" s="119" t="n">
        <x:v>0.75</x:v>
      </x:c>
      <x:c r="K42" s="107" t="n">
        <x:f>IF(I42="Yes",J42,0)</x:f>
        <x:v>0.75</x:v>
      </x:c>
      <x:c r="L42" s="107" t="n">
        <x:f>SUM($H$8:H42)</x:f>
        <x:v>24.5</x:v>
      </x:c>
      <x:c r="M42" s="107" t="n">
        <x:f>SUM($K$8:K42)</x:f>
        <x:v>24.5</x:v>
      </x:c>
      <x:c r="N42" s="52" t="str">
        <x:f>IF(I42&lt;&gt;"Yes","Deferred",IF(M42&lt;='Overview'!$B$10,"Fits","Over capacity"))</x:f>
        <x:v>Fits</x:v>
      </x:c>
      <x:c r="O42" s="105" t="str">
        <x:v>Not started</x:v>
      </x:c>
      <x:c r="P42" s="105" t="str"/>
    </x:row>
    <x:row r="43" ht="64" customHeight="1">
      <x:c r="A43" s="105" t="str">
        <x:v>International economics</x:v>
      </x:c>
      <x:c r="B43" s="52" t="n">
        <x:v>11</x:v>
      </x:c>
      <x:c r="C43" s="52" t="str">
        <x:v>11.1</x:v>
      </x:c>
      <x:c r="D43" s="52" t="str">
        <x:v>Policies to correct balance-of-payments disequilibrium</x:v>
      </x:c>
      <x:c r="E43" s="52" t="str">
        <x:v>11.1.3</x:v>
      </x:c>
      <x:c r="F43" s="105" t="str">
        <x:v>Difference between expenditure-switching and expenditure-reducing policies.</x:v>
      </x:c>
      <x:c r="G43" s="106" t="n">
        <x:v>32</x:v>
      </x:c>
      <x:c r="H43" s="118" t="n">
        <x:v>0.5</x:v>
      </x:c>
      <x:c r="I43" s="60" t="str">
        <x:v>Yes</x:v>
      </x:c>
      <x:c r="J43" s="119" t="n">
        <x:v>0.5</x:v>
      </x:c>
      <x:c r="K43" s="107" t="n">
        <x:f>IF(I43="Yes",J43,0)</x:f>
        <x:v>0.5</x:v>
      </x:c>
      <x:c r="L43" s="107" t="n">
        <x:f>SUM($H$8:H43)</x:f>
        <x:v>25</x:v>
      </x:c>
      <x:c r="M43" s="107" t="n">
        <x:f>SUM($K$8:K43)</x:f>
        <x:v>25</x:v>
      </x:c>
      <x:c r="N43" s="52" t="str">
        <x:f>IF(I43&lt;&gt;"Yes","Deferred",IF(M43&lt;='Overview'!$B$10,"Fits","Over capacity"))</x:f>
        <x:v>Fits</x:v>
      </x:c>
      <x:c r="O43" s="105" t="str">
        <x:v>Not started</x:v>
      </x:c>
      <x:c r="P43" s="105" t="str"/>
    </x:row>
    <x:row r="44" ht="64" customHeight="1">
      <x:c r="A44" s="105" t="str">
        <x:v>International economics</x:v>
      </x:c>
      <x:c r="B44" s="52" t="n">
        <x:v>11</x:v>
      </x:c>
      <x:c r="C44" s="52" t="str">
        <x:v>11.2</x:v>
      </x:c>
      <x:c r="D44" s="52" t="str">
        <x:v>Exchange rates</x:v>
      </x:c>
      <x:c r="E44" s="52" t="str">
        <x:v>11.2.1</x:v>
      </x:c>
      <x:c r="F44" s="105" t="str">
        <x:v>Measurement of exchange rates: nominal versus real exchange rates and trade-weighted exchange rates.</x:v>
      </x:c>
      <x:c r="G44" s="106" t="n">
        <x:v>32</x:v>
      </x:c>
      <x:c r="H44" s="118" t="n">
        <x:v>0.5</x:v>
      </x:c>
      <x:c r="I44" s="60" t="str">
        <x:v>Yes</x:v>
      </x:c>
      <x:c r="J44" s="119" t="n">
        <x:v>0.5</x:v>
      </x:c>
      <x:c r="K44" s="107" t="n">
        <x:f>IF(I44="Yes",J44,0)</x:f>
        <x:v>0.5</x:v>
      </x:c>
      <x:c r="L44" s="107" t="n">
        <x:f>SUM($H$8:H44)</x:f>
        <x:v>25.5</x:v>
      </x:c>
      <x:c r="M44" s="107" t="n">
        <x:f>SUM($K$8:K44)</x:f>
        <x:v>25.5</x:v>
      </x:c>
      <x:c r="N44" s="52" t="str">
        <x:f>IF(I44&lt;&gt;"Yes","Deferred",IF(M44&lt;='Overview'!$B$10,"Fits","Over capacity"))</x:f>
        <x:v>Fits</x:v>
      </x:c>
      <x:c r="O44" s="105" t="str">
        <x:v>Not started</x:v>
      </x:c>
      <x:c r="P44" s="105" t="str"/>
    </x:row>
    <x:row r="45" ht="64" customHeight="1">
      <x:c r="A45" s="105" t="str">
        <x:v>International economics</x:v>
      </x:c>
      <x:c r="B45" s="52" t="n">
        <x:v>11</x:v>
      </x:c>
      <x:c r="C45" s="52" t="str">
        <x:v>11.2</x:v>
      </x:c>
      <x:c r="D45" s="52" t="str">
        <x:v>Exchange rates</x:v>
      </x:c>
      <x:c r="E45" s="52" t="str">
        <x:v>11.2.2</x:v>
      </x:c>
      <x:c r="F45" s="105" t="str">
        <x:v>Determination of exchange rates under fixed and managed systems.</x:v>
      </x:c>
      <x:c r="G45" s="106" t="n">
        <x:v>32</x:v>
      </x:c>
      <x:c r="H45" s="118" t="n">
        <x:v>0.75</x:v>
      </x:c>
      <x:c r="I45" s="60" t="str">
        <x:v>Yes</x:v>
      </x:c>
      <x:c r="J45" s="119" t="n">
        <x:v>0.75</x:v>
      </x:c>
      <x:c r="K45" s="107" t="n">
        <x:f>IF(I45="Yes",J45,0)</x:f>
        <x:v>0.75</x:v>
      </x:c>
      <x:c r="L45" s="107" t="n">
        <x:f>SUM($H$8:H45)</x:f>
        <x:v>26.25</x:v>
      </x:c>
      <x:c r="M45" s="107" t="n">
        <x:f>SUM($K$8:K45)</x:f>
        <x:v>26.25</x:v>
      </x:c>
      <x:c r="N45" s="52" t="str">
        <x:f>IF(I45&lt;&gt;"Yes","Deferred",IF(M45&lt;='Overview'!$B$10,"Fits","Over capacity"))</x:f>
        <x:v>Fits</x:v>
      </x:c>
      <x:c r="O45" s="105" t="str">
        <x:v>Not started</x:v>
      </x:c>
      <x:c r="P45" s="105" t="str"/>
    </x:row>
    <x:row r="46" ht="64" customHeight="1">
      <x:c r="A46" s="105" t="str">
        <x:v>International economics</x:v>
      </x:c>
      <x:c r="B46" s="52" t="n">
        <x:v>11</x:v>
      </x:c>
      <x:c r="C46" s="52" t="str">
        <x:v>11.2</x:v>
      </x:c>
      <x:c r="D46" s="52" t="str">
        <x:v>Exchange rates</x:v>
      </x:c>
      <x:c r="E46" s="52" t="str">
        <x:v>11.2.3</x:v>
      </x:c>
      <x:c r="F46" s="105" t="str">
        <x:v>Revaluation and devaluation of a fixed exchange rate.</x:v>
      </x:c>
      <x:c r="G46" s="106" t="n">
        <x:v>32</x:v>
      </x:c>
      <x:c r="H46" s="118" t="n">
        <x:v>0.25</x:v>
      </x:c>
      <x:c r="I46" s="60" t="str">
        <x:v>Yes</x:v>
      </x:c>
      <x:c r="J46" s="119" t="n">
        <x:v>0.25</x:v>
      </x:c>
      <x:c r="K46" s="107" t="n">
        <x:f>IF(I46="Yes",J46,0)</x:f>
        <x:v>0.25</x:v>
      </x:c>
      <x:c r="L46" s="107" t="n">
        <x:f>SUM($H$8:H46)</x:f>
        <x:v>26.5</x:v>
      </x:c>
      <x:c r="M46" s="107" t="n">
        <x:f>SUM($K$8:K46)</x:f>
        <x:v>26.5</x:v>
      </x:c>
      <x:c r="N46" s="52" t="str">
        <x:f>IF(I46&lt;&gt;"Yes","Deferred",IF(M46&lt;='Overview'!$B$10,"Fits","Over capacity"))</x:f>
        <x:v>Fits</x:v>
      </x:c>
      <x:c r="O46" s="105" t="str">
        <x:v>Not started</x:v>
      </x:c>
      <x:c r="P46" s="105" t="str"/>
    </x:row>
    <x:row r="47" ht="64" customHeight="1">
      <x:c r="A47" s="105" t="str">
        <x:v>International economics</x:v>
      </x:c>
      <x:c r="B47" s="52" t="n">
        <x:v>11</x:v>
      </x:c>
      <x:c r="C47" s="52" t="str">
        <x:v>11.2</x:v>
      </x:c>
      <x:c r="D47" s="52" t="str">
        <x:v>Exchange rates</x:v>
      </x:c>
      <x:c r="E47" s="52" t="str">
        <x:v>11.2.4</x:v>
      </x:c>
      <x:c r="F47" s="105" t="str">
        <x:v>Changes in the exchange rate under different exchange rate systems.</x:v>
      </x:c>
      <x:c r="G47" s="106" t="n">
        <x:v>32</x:v>
      </x:c>
      <x:c r="H47" s="118" t="n">
        <x:v>0.5</x:v>
      </x:c>
      <x:c r="I47" s="60" t="str">
        <x:v>Yes</x:v>
      </x:c>
      <x:c r="J47" s="119" t="n">
        <x:v>0.5</x:v>
      </x:c>
      <x:c r="K47" s="107" t="n">
        <x:f>IF(I47="Yes",J47,0)</x:f>
        <x:v>0.5</x:v>
      </x:c>
      <x:c r="L47" s="107" t="n">
        <x:f>SUM($H$8:H47)</x:f>
        <x:v>27</x:v>
      </x:c>
      <x:c r="M47" s="107" t="n">
        <x:f>SUM($K$8:K47)</x:f>
        <x:v>27</x:v>
      </x:c>
      <x:c r="N47" s="52" t="str">
        <x:f>IF(I47&lt;&gt;"Yes","Deferred",IF(M47&lt;='Overview'!$B$10,"Fits","Over capacity"))</x:f>
        <x:v>Fits</x:v>
      </x:c>
      <x:c r="O47" s="105" t="str">
        <x:v>Not started</x:v>
      </x:c>
      <x:c r="P47" s="105" t="str"/>
    </x:row>
    <x:row r="48" ht="64" customHeight="1">
      <x:c r="A48" s="105" t="str">
        <x:v>International economics</x:v>
      </x:c>
      <x:c r="B48" s="52" t="n">
        <x:v>11</x:v>
      </x:c>
      <x:c r="C48" s="52" t="str">
        <x:v>11.2</x:v>
      </x:c>
      <x:c r="D48" s="52" t="str">
        <x:v>Exchange rates</x:v>
      </x:c>
      <x:c r="E48" s="52" t="str">
        <x:v>11.2.5</x:v>
      </x:c>
      <x:c r="F48" s="105" t="str">
        <x:v>Effects of exchange-rate changes on the external economy using Marshall-Lerner and J-curve analysis.</x:v>
      </x:c>
      <x:c r="G48" s="106" t="n">
        <x:v>32</x:v>
      </x:c>
      <x:c r="H48" s="118" t="n">
        <x:v>1</x:v>
      </x:c>
      <x:c r="I48" s="60" t="str">
        <x:v>Yes</x:v>
      </x:c>
      <x:c r="J48" s="119" t="n">
        <x:v>1</x:v>
      </x:c>
      <x:c r="K48" s="107" t="n">
        <x:f>IF(I48="Yes",J48,0)</x:f>
        <x:v>1</x:v>
      </x:c>
      <x:c r="L48" s="107" t="n">
        <x:f>SUM($H$8:H48)</x:f>
        <x:v>28</x:v>
      </x:c>
      <x:c r="M48" s="107" t="n">
        <x:f>SUM($K$8:K48)</x:f>
        <x:v>28</x:v>
      </x:c>
      <x:c r="N48" s="52" t="str">
        <x:f>IF(I48&lt;&gt;"Yes","Deferred",IF(M48&lt;='Overview'!$B$10,"Fits","Over capacity"))</x:f>
        <x:v>Fits</x:v>
      </x:c>
      <x:c r="O48" s="105" t="str">
        <x:v>Not started</x:v>
      </x:c>
      <x:c r="P48" s="105" t="str"/>
    </x:row>
    <x:row r="49" ht="64" customHeight="1">
      <x:c r="A49" s="105" t="str">
        <x:v>International economics</x:v>
      </x:c>
      <x:c r="B49" s="52" t="n">
        <x:v>11</x:v>
      </x:c>
      <x:c r="C49" s="52" t="str">
        <x:v>11.3</x:v>
      </x:c>
      <x:c r="D49" s="52" t="str">
        <x:v>Economic development</x:v>
      </x:c>
      <x:c r="E49" s="52" t="str">
        <x:v>11.3.1</x:v>
      </x:c>
      <x:c r="F49" s="105" t="str">
        <x:v>Classification of economies by level of development.</x:v>
      </x:c>
      <x:c r="G49" s="106" t="n">
        <x:v>33</x:v>
      </x:c>
      <x:c r="H49" s="118" t="n">
        <x:v>0.5</x:v>
      </x:c>
      <x:c r="I49" s="60" t="str">
        <x:v>Yes</x:v>
      </x:c>
      <x:c r="J49" s="119" t="n">
        <x:v>0.5</x:v>
      </x:c>
      <x:c r="K49" s="107" t="n">
        <x:f>IF(I49="Yes",J49,0)</x:f>
        <x:v>0.5</x:v>
      </x:c>
      <x:c r="L49" s="107" t="n">
        <x:f>SUM($H$8:H49)</x:f>
        <x:v>28.5</x:v>
      </x:c>
      <x:c r="M49" s="107" t="n">
        <x:f>SUM($K$8:K49)</x:f>
        <x:v>28.5</x:v>
      </x:c>
      <x:c r="N49" s="52" t="str">
        <x:f>IF(I49&lt;&gt;"Yes","Deferred",IF(M49&lt;='Overview'!$B$10,"Fits","Over capacity"))</x:f>
        <x:v>Over capacity</x:v>
      </x:c>
      <x:c r="O49" s="105" t="str">
        <x:v>Not started</x:v>
      </x:c>
      <x:c r="P49" s="105" t="str"/>
    </x:row>
    <x:row r="50" ht="64" customHeight="1">
      <x:c r="A50" s="105" t="str">
        <x:v>International economics</x:v>
      </x:c>
      <x:c r="B50" s="52" t="n">
        <x:v>11</x:v>
      </x:c>
      <x:c r="C50" s="52" t="str">
        <x:v>11.3</x:v>
      </x:c>
      <x:c r="D50" s="52" t="str">
        <x:v>Economic development</x:v>
      </x:c>
      <x:c r="E50" s="52" t="str">
        <x:v>11.3.2</x:v>
      </x:c>
      <x:c r="F50" s="105" t="str">
        <x:v>Classification of economies by level of national income.</x:v>
      </x:c>
      <x:c r="G50" s="106" t="n">
        <x:v>33</x:v>
      </x:c>
      <x:c r="H50" s="118" t="n">
        <x:v>0.5</x:v>
      </x:c>
      <x:c r="I50" s="60" t="str">
        <x:v>Yes</x:v>
      </x:c>
      <x:c r="J50" s="119" t="n">
        <x:v>0.5</x:v>
      </x:c>
      <x:c r="K50" s="107" t="n">
        <x:f>IF(I50="Yes",J50,0)</x:f>
        <x:v>0.5</x:v>
      </x:c>
      <x:c r="L50" s="107" t="n">
        <x:f>SUM($H$8:H50)</x:f>
        <x:v>29</x:v>
      </x:c>
      <x:c r="M50" s="107" t="n">
        <x:f>SUM($K$8:K50)</x:f>
        <x:v>29</x:v>
      </x:c>
      <x:c r="N50" s="52" t="str">
        <x:f>IF(I50&lt;&gt;"Yes","Deferred",IF(M50&lt;='Overview'!$B$10,"Fits","Over capacity"))</x:f>
        <x:v>Over capacity</x:v>
      </x:c>
      <x:c r="O50" s="105" t="str">
        <x:v>Not started</x:v>
      </x:c>
      <x:c r="P50" s="105" t="str"/>
    </x:row>
    <x:row r="51" ht="64" customHeight="1">
      <x:c r="A51" s="105" t="str">
        <x:v>International economics</x:v>
      </x:c>
      <x:c r="B51" s="52" t="n">
        <x:v>11</x:v>
      </x:c>
      <x:c r="C51" s="52" t="str">
        <x:v>11.3</x:v>
      </x:c>
      <x:c r="D51" s="52" t="str">
        <x:v>Economic development</x:v>
      </x:c>
      <x:c r="E51" s="52" t="str">
        <x:v>11.3.3</x:v>
      </x:c>
      <x:c r="F51" s="105" t="str">
        <x:v>Living-standard and development indicators: real per-capita GDP/GNI/NNI and PPP; comparison issues; non-monetary indicators; HDI, MEW and MPI; Kuznets curve.</x:v>
      </x:c>
      <x:c r="G51" s="106" t="n">
        <x:v>33</x:v>
      </x:c>
      <x:c r="H51" s="118" t="n">
        <x:v>2</x:v>
      </x:c>
      <x:c r="I51" s="60" t="str">
        <x:v>Yes</x:v>
      </x:c>
      <x:c r="J51" s="119" t="n">
        <x:v>2</x:v>
      </x:c>
      <x:c r="K51" s="107" t="n">
        <x:f>IF(I51="Yes",J51,0)</x:f>
        <x:v>2</x:v>
      </x:c>
      <x:c r="L51" s="107" t="n">
        <x:f>SUM($H$8:H51)</x:f>
        <x:v>31</x:v>
      </x:c>
      <x:c r="M51" s="107" t="n">
        <x:f>SUM($K$8:K51)</x:f>
        <x:v>31</x:v>
      </x:c>
      <x:c r="N51" s="52" t="str">
        <x:f>IF(I51&lt;&gt;"Yes","Deferred",IF(M51&lt;='Overview'!$B$10,"Fits","Over capacity"))</x:f>
        <x:v>Over capacity</x:v>
      </x:c>
      <x:c r="O51" s="105" t="str">
        <x:v>Not started</x:v>
      </x:c>
      <x:c r="P51" s="105" t="str"/>
    </x:row>
    <x:row r="52" ht="64" customHeight="1">
      <x:c r="A52" s="105" t="str">
        <x:v>International economics</x:v>
      </x:c>
      <x:c r="B52" s="52" t="n">
        <x:v>11</x:v>
      </x:c>
      <x:c r="C52" s="52" t="str">
        <x:v>11.3</x:v>
      </x:c>
      <x:c r="D52" s="52" t="str">
        <x:v>Economic development</x:v>
      </x:c>
      <x:c r="E52" s="52" t="str">
        <x:v>11.3.4</x:v>
      </x:c>
      <x:c r="F52" s="105" t="str">
        <x:v>Comparison of economic growth rates and living standards over time and between countries.</x:v>
      </x:c>
      <x:c r="G52" s="106" t="n">
        <x:v>33</x:v>
      </x:c>
      <x:c r="H52" s="118" t="n">
        <x:v>1</x:v>
      </x:c>
      <x:c r="I52" s="60" t="str">
        <x:v>Yes</x:v>
      </x:c>
      <x:c r="J52" s="119" t="n">
        <x:v>1</x:v>
      </x:c>
      <x:c r="K52" s="107" t="n">
        <x:f>IF(I52="Yes",J52,0)</x:f>
        <x:v>1</x:v>
      </x:c>
      <x:c r="L52" s="107" t="n">
        <x:f>SUM($H$8:H52)</x:f>
        <x:v>32</x:v>
      </x:c>
      <x:c r="M52" s="107" t="n">
        <x:f>SUM($K$8:K52)</x:f>
        <x:v>32</x:v>
      </x:c>
      <x:c r="N52" s="52" t="str">
        <x:f>IF(I52&lt;&gt;"Yes","Deferred",IF(M52&lt;='Overview'!$B$10,"Fits","Over capacity"))</x:f>
        <x:v>Over capacity</x:v>
      </x:c>
      <x:c r="O52" s="105" t="str">
        <x:v>Not started</x:v>
      </x:c>
      <x:c r="P52" s="105" t="str"/>
    </x:row>
    <x:row r="53" ht="64" customHeight="1">
      <x:c r="A53" s="105" t="str">
        <x:v>International economics</x:v>
      </x:c>
      <x:c r="B53" s="52" t="n">
        <x:v>11</x:v>
      </x:c>
      <x:c r="C53" s="52" t="str">
        <x:v>11.4</x:v>
      </x:c>
      <x:c r="D53" s="52" t="str">
        <x:v>Characteristics at different levels of development</x:v>
      </x:c>
      <x:c r="E53" s="52" t="str">
        <x:v>11.4.1</x:v>
      </x:c>
      <x:c r="F53" s="105" t="str">
        <x:v>Population growth and structure: birth and death rates, infant mortality, net migration, optimum population and urbanisation.</x:v>
      </x:c>
      <x:c r="G53" s="106" t="n">
        <x:v>33</x:v>
      </x:c>
      <x:c r="H53" s="118" t="n">
        <x:v>1.25</x:v>
      </x:c>
      <x:c r="I53" s="60" t="str">
        <x:v>Yes</x:v>
      </x:c>
      <x:c r="J53" s="119" t="n">
        <x:v>1.25</x:v>
      </x:c>
      <x:c r="K53" s="107" t="n">
        <x:f>IF(I53="Yes",J53,0)</x:f>
        <x:v>1.25</x:v>
      </x:c>
      <x:c r="L53" s="107" t="n">
        <x:f>SUM($H$8:H53)</x:f>
        <x:v>33.25</x:v>
      </x:c>
      <x:c r="M53" s="107" t="n">
        <x:f>SUM($K$8:K53)</x:f>
        <x:v>33.25</x:v>
      </x:c>
      <x:c r="N53" s="52" t="str">
        <x:f>IF(I53&lt;&gt;"Yes","Deferred",IF(M53&lt;='Overview'!$B$10,"Fits","Over capacity"))</x:f>
        <x:v>Over capacity</x:v>
      </x:c>
      <x:c r="O53" s="105" t="str">
        <x:v>Not started</x:v>
      </x:c>
      <x:c r="P53" s="105" t="str"/>
    </x:row>
    <x:row r="54" ht="64" customHeight="1">
      <x:c r="A54" s="105" t="str">
        <x:v>International economics</x:v>
      </x:c>
      <x:c r="B54" s="52" t="n">
        <x:v>11</x:v>
      </x:c>
      <x:c r="C54" s="52" t="str">
        <x:v>11.4</x:v>
      </x:c>
      <x:c r="D54" s="52" t="str">
        <x:v>Characteristics at different levels of development</x:v>
      </x:c>
      <x:c r="E54" s="52" t="str">
        <x:v>11.4.2</x:v>
      </x:c>
      <x:c r="F54" s="105" t="str">
        <x:v>Income distribution: calculation of the Gini coefficient and Lorenz curve analysis.</x:v>
      </x:c>
      <x:c r="G54" s="106" t="n">
        <x:v>33</x:v>
      </x:c>
      <x:c r="H54" s="118" t="n">
        <x:v>1</x:v>
      </x:c>
      <x:c r="I54" s="60" t="str">
        <x:v>Yes</x:v>
      </x:c>
      <x:c r="J54" s="119" t="n">
        <x:v>1</x:v>
      </x:c>
      <x:c r="K54" s="107" t="n">
        <x:f>IF(I54="Yes",J54,0)</x:f>
        <x:v>1</x:v>
      </x:c>
      <x:c r="L54" s="107" t="n">
        <x:f>SUM($H$8:H54)</x:f>
        <x:v>34.25</x:v>
      </x:c>
      <x:c r="M54" s="107" t="n">
        <x:f>SUM($K$8:K54)</x:f>
        <x:v>34.25</x:v>
      </x:c>
      <x:c r="N54" s="52" t="str">
        <x:f>IF(I54&lt;&gt;"Yes","Deferred",IF(M54&lt;='Overview'!$B$10,"Fits","Over capacity"))</x:f>
        <x:v>Over capacity</x:v>
      </x:c>
      <x:c r="O54" s="105" t="str">
        <x:v>Not started</x:v>
      </x:c>
      <x:c r="P54" s="105" t="str"/>
    </x:row>
    <x:row r="55" ht="64" customHeight="1">
      <x:c r="A55" s="105" t="str">
        <x:v>International economics</x:v>
      </x:c>
      <x:c r="B55" s="52" t="n">
        <x:v>11</x:v>
      </x:c>
      <x:c r="C55" s="52" t="str">
        <x:v>11.4</x:v>
      </x:c>
      <x:c r="D55" s="52" t="str">
        <x:v>Characteristics at different levels of development</x:v>
      </x:c>
      <x:c r="E55" s="52" t="str">
        <x:v>11.4.3</x:v>
      </x:c>
      <x:c r="F55" s="105" t="str">
        <x:v>Economic structure: employment composition across primary, secondary and tertiary sectors; trade patterns at different development levels.</x:v>
      </x:c>
      <x:c r="G55" s="106" t="n">
        <x:v>33</x:v>
      </x:c>
      <x:c r="H55" s="118" t="n">
        <x:v>0.75</x:v>
      </x:c>
      <x:c r="I55" s="60" t="str">
        <x:v>Yes</x:v>
      </x:c>
      <x:c r="J55" s="119" t="n">
        <x:v>0.75</x:v>
      </x:c>
      <x:c r="K55" s="107" t="n">
        <x:f>IF(I55="Yes",J55,0)</x:f>
        <x:v>0.75</x:v>
      </x:c>
      <x:c r="L55" s="107" t="n">
        <x:f>SUM($H$8:H55)</x:f>
        <x:v>35</x:v>
      </x:c>
      <x:c r="M55" s="107" t="n">
        <x:f>SUM($K$8:K55)</x:f>
        <x:v>35</x:v>
      </x:c>
      <x:c r="N55" s="52" t="str">
        <x:f>IF(I55&lt;&gt;"Yes","Deferred",IF(M55&lt;='Overview'!$B$10,"Fits","Over capacity"))</x:f>
        <x:v>Over capacity</x:v>
      </x:c>
      <x:c r="O55" s="105" t="str">
        <x:v>Not started</x:v>
      </x:c>
      <x:c r="P55" s="105" t="str"/>
    </x:row>
    <x:row r="56" ht="64" customHeight="1">
      <x:c r="A56" s="105" t="str">
        <x:v>International economics</x:v>
      </x:c>
      <x:c r="B56" s="52" t="n">
        <x:v>11</x:v>
      </x:c>
      <x:c r="C56" s="52" t="str">
        <x:v>11.5</x:v>
      </x:c>
      <x:c r="D56" s="52" t="str">
        <x:v>Relationships between countries at different development levels</x:v>
      </x:c>
      <x:c r="E56" s="52" t="str">
        <x:v>11.5.1</x:v>
      </x:c>
      <x:c r="F56" s="105" t="str">
        <x:v>International aid: forms, reasons for giving aid, effects and importance.</x:v>
      </x:c>
      <x:c r="G56" s="106" t="n">
        <x:v>34</x:v>
      </x:c>
      <x:c r="H56" s="118" t="n">
        <x:v>0.75</x:v>
      </x:c>
      <x:c r="I56" s="60" t="str">
        <x:v>Yes</x:v>
      </x:c>
      <x:c r="J56" s="119" t="n">
        <x:v>0.75</x:v>
      </x:c>
      <x:c r="K56" s="107" t="n">
        <x:f>IF(I56="Yes",J56,0)</x:f>
        <x:v>0.75</x:v>
      </x:c>
      <x:c r="L56" s="107" t="n">
        <x:f>SUM($H$8:H56)</x:f>
        <x:v>35.75</x:v>
      </x:c>
      <x:c r="M56" s="107" t="n">
        <x:f>SUM($K$8:K56)</x:f>
        <x:v>35.75</x:v>
      </x:c>
      <x:c r="N56" s="52" t="str">
        <x:f>IF(I56&lt;&gt;"Yes","Deferred",IF(M56&lt;='Overview'!$B$10,"Fits","Over capacity"))</x:f>
        <x:v>Over capacity</x:v>
      </x:c>
      <x:c r="O56" s="105" t="str">
        <x:v>Not started</x:v>
      </x:c>
      <x:c r="P56" s="105" t="str"/>
    </x:row>
    <x:row r="57" ht="64" customHeight="1">
      <x:c r="A57" s="105" t="str">
        <x:v>International economics</x:v>
      </x:c>
      <x:c r="B57" s="52" t="n">
        <x:v>11</x:v>
      </x:c>
      <x:c r="C57" s="52" t="str">
        <x:v>11.5</x:v>
      </x:c>
      <x:c r="D57" s="52" t="str">
        <x:v>Relationships between countries at different development levels</x:v>
      </x:c>
      <x:c r="E57" s="52" t="str">
        <x:v>11.5.2</x:v>
      </x:c>
      <x:c r="F57" s="105" t="str">
        <x:v>Trade and investment.</x:v>
      </x:c>
      <x:c r="G57" s="106" t="n">
        <x:v>34</x:v>
      </x:c>
      <x:c r="H57" s="118" t="n">
        <x:v>0.5</x:v>
      </x:c>
      <x:c r="I57" s="60" t="str">
        <x:v>Yes</x:v>
      </x:c>
      <x:c r="J57" s="119" t="n">
        <x:v>0.5</x:v>
      </x:c>
      <x:c r="K57" s="107" t="n">
        <x:f>IF(I57="Yes",J57,0)</x:f>
        <x:v>0.5</x:v>
      </x:c>
      <x:c r="L57" s="107" t="n">
        <x:f>SUM($H$8:H57)</x:f>
        <x:v>36.25</x:v>
      </x:c>
      <x:c r="M57" s="107" t="n">
        <x:f>SUM($K$8:K57)</x:f>
        <x:v>36.25</x:v>
      </x:c>
      <x:c r="N57" s="52" t="str">
        <x:f>IF(I57&lt;&gt;"Yes","Deferred",IF(M57&lt;='Overview'!$B$10,"Fits","Over capacity"))</x:f>
        <x:v>Over capacity</x:v>
      </x:c>
      <x:c r="O57" s="105" t="str">
        <x:v>Not started</x:v>
      </x:c>
      <x:c r="P57" s="105" t="str"/>
    </x:row>
    <x:row r="58" ht="64" customHeight="1">
      <x:c r="A58" s="105" t="str">
        <x:v>International economics</x:v>
      </x:c>
      <x:c r="B58" s="52" t="n">
        <x:v>11</x:v>
      </x:c>
      <x:c r="C58" s="52" t="str">
        <x:v>11.5</x:v>
      </x:c>
      <x:c r="D58" s="52" t="str">
        <x:v>Relationships between countries at different development levels</x:v>
      </x:c>
      <x:c r="E58" s="52" t="str">
        <x:v>11.5.3</x:v>
      </x:c>
      <x:c r="F58" s="105" t="str">
        <x:v>Multinational companies: definition, activities and consequences.</x:v>
      </x:c>
      <x:c r="G58" s="106" t="n">
        <x:v>34</x:v>
      </x:c>
      <x:c r="H58" s="118" t="n">
        <x:v>0.75</x:v>
      </x:c>
      <x:c r="I58" s="60" t="str">
        <x:v>Yes</x:v>
      </x:c>
      <x:c r="J58" s="119" t="n">
        <x:v>0.75</x:v>
      </x:c>
      <x:c r="K58" s="107" t="n">
        <x:f>IF(I58="Yes",J58,0)</x:f>
        <x:v>0.75</x:v>
      </x:c>
      <x:c r="L58" s="107" t="n">
        <x:f>SUM($H$8:H58)</x:f>
        <x:v>37</x:v>
      </x:c>
      <x:c r="M58" s="107" t="n">
        <x:f>SUM($K$8:K58)</x:f>
        <x:v>37</x:v>
      </x:c>
      <x:c r="N58" s="52" t="str">
        <x:f>IF(I58&lt;&gt;"Yes","Deferred",IF(M58&lt;='Overview'!$B$10,"Fits","Over capacity"))</x:f>
        <x:v>Over capacity</x:v>
      </x:c>
      <x:c r="O58" s="105" t="str">
        <x:v>Not started</x:v>
      </x:c>
      <x:c r="P58" s="105" t="str"/>
    </x:row>
    <x:row r="59" ht="64" customHeight="1">
      <x:c r="A59" s="105" t="str">
        <x:v>International economics</x:v>
      </x:c>
      <x:c r="B59" s="52" t="n">
        <x:v>11</x:v>
      </x:c>
      <x:c r="C59" s="52" t="str">
        <x:v>11.5</x:v>
      </x:c>
      <x:c r="D59" s="52" t="str">
        <x:v>Relationships between countries at different development levels</x:v>
      </x:c>
      <x:c r="E59" s="52" t="str">
        <x:v>11.5.4</x:v>
      </x:c>
      <x:c r="F59" s="105" t="str">
        <x:v>Foreign Direct Investment: definition and consequences.</x:v>
      </x:c>
      <x:c r="G59" s="106" t="n">
        <x:v>34</x:v>
      </x:c>
      <x:c r="H59" s="118" t="n">
        <x:v>0.5</x:v>
      </x:c>
      <x:c r="I59" s="60" t="str">
        <x:v>Yes</x:v>
      </x:c>
      <x:c r="J59" s="119" t="n">
        <x:v>0.5</x:v>
      </x:c>
      <x:c r="K59" s="107" t="n">
        <x:f>IF(I59="Yes",J59,0)</x:f>
        <x:v>0.5</x:v>
      </x:c>
      <x:c r="L59" s="107" t="n">
        <x:f>SUM($H$8:H59)</x:f>
        <x:v>37.5</x:v>
      </x:c>
      <x:c r="M59" s="107" t="n">
        <x:f>SUM($K$8:K59)</x:f>
        <x:v>37.5</x:v>
      </x:c>
      <x:c r="N59" s="52" t="str">
        <x:f>IF(I59&lt;&gt;"Yes","Deferred",IF(M59&lt;='Overview'!$B$10,"Fits","Over capacity"))</x:f>
        <x:v>Over capacity</x:v>
      </x:c>
      <x:c r="O59" s="105" t="str">
        <x:v>Not started</x:v>
      </x:c>
      <x:c r="P59" s="105" t="str"/>
    </x:row>
    <x:row r="60" ht="64" customHeight="1">
      <x:c r="A60" s="105" t="str">
        <x:v>International economics</x:v>
      </x:c>
      <x:c r="B60" s="52" t="n">
        <x:v>11</x:v>
      </x:c>
      <x:c r="C60" s="52" t="str">
        <x:v>11.5</x:v>
      </x:c>
      <x:c r="D60" s="52" t="str">
        <x:v>Relationships between countries at different development levels</x:v>
      </x:c>
      <x:c r="E60" s="52" t="str">
        <x:v>11.5.5</x:v>
      </x:c>
      <x:c r="F60" s="105" t="str">
        <x:v>External debt: causes and consequences.</x:v>
      </x:c>
      <x:c r="G60" s="106" t="n">
        <x:v>34</x:v>
      </x:c>
      <x:c r="H60" s="118" t="n">
        <x:v>0.5</x:v>
      </x:c>
      <x:c r="I60" s="60" t="str">
        <x:v>Yes</x:v>
      </x:c>
      <x:c r="J60" s="119" t="n">
        <x:v>0.5</x:v>
      </x:c>
      <x:c r="K60" s="107" t="n">
        <x:f>IF(I60="Yes",J60,0)</x:f>
        <x:v>0.5</x:v>
      </x:c>
      <x:c r="L60" s="107" t="n">
        <x:f>SUM($H$8:H60)</x:f>
        <x:v>38</x:v>
      </x:c>
      <x:c r="M60" s="107" t="n">
        <x:f>SUM($K$8:K60)</x:f>
        <x:v>38</x:v>
      </x:c>
      <x:c r="N60" s="52" t="str">
        <x:f>IF(I60&lt;&gt;"Yes","Deferred",IF(M60&lt;='Overview'!$B$10,"Fits","Over capacity"))</x:f>
        <x:v>Over capacity</x:v>
      </x:c>
      <x:c r="O60" s="105" t="str">
        <x:v>Not started</x:v>
      </x:c>
      <x:c r="P60" s="105" t="str"/>
    </x:row>
    <x:row r="61" ht="64" customHeight="1">
      <x:c r="A61" s="105" t="str">
        <x:v>International economics</x:v>
      </x:c>
      <x:c r="B61" s="52" t="n">
        <x:v>11</x:v>
      </x:c>
      <x:c r="C61" s="52" t="str">
        <x:v>11.5</x:v>
      </x:c>
      <x:c r="D61" s="52" t="str">
        <x:v>Relationships between countries at different development levels</x:v>
      </x:c>
      <x:c r="E61" s="52" t="str">
        <x:v>11.5.6</x:v>
      </x:c>
      <x:c r="F61" s="105" t="str">
        <x:v>Role of the International Monetary Fund (IMF).</x:v>
      </x:c>
      <x:c r="G61" s="106" t="n">
        <x:v>34</x:v>
      </x:c>
      <x:c r="H61" s="118" t="n">
        <x:v>0.5</x:v>
      </x:c>
      <x:c r="I61" s="60" t="str">
        <x:v>Yes</x:v>
      </x:c>
      <x:c r="J61" s="119" t="n">
        <x:v>0.5</x:v>
      </x:c>
      <x:c r="K61" s="107" t="n">
        <x:f>IF(I61="Yes",J61,0)</x:f>
        <x:v>0.5</x:v>
      </x:c>
      <x:c r="L61" s="107" t="n">
        <x:f>SUM($H$8:H61)</x:f>
        <x:v>38.5</x:v>
      </x:c>
      <x:c r="M61" s="107" t="n">
        <x:f>SUM($K$8:K61)</x:f>
        <x:v>38.5</x:v>
      </x:c>
      <x:c r="N61" s="52" t="str">
        <x:f>IF(I61&lt;&gt;"Yes","Deferred",IF(M61&lt;='Overview'!$B$10,"Fits","Over capacity"))</x:f>
        <x:v>Over capacity</x:v>
      </x:c>
      <x:c r="O61" s="105" t="str">
        <x:v>Not started</x:v>
      </x:c>
      <x:c r="P61" s="105" t="str"/>
    </x:row>
    <x:row r="62" ht="64" customHeight="1">
      <x:c r="A62" s="105" t="str">
        <x:v>International economics</x:v>
      </x:c>
      <x:c r="B62" s="52" t="n">
        <x:v>11</x:v>
      </x:c>
      <x:c r="C62" s="52" t="str">
        <x:v>11.5</x:v>
      </x:c>
      <x:c r="D62" s="52" t="str">
        <x:v>Relationships between countries at different development levels</x:v>
      </x:c>
      <x:c r="E62" s="52" t="str">
        <x:v>11.5.7</x:v>
      </x:c>
      <x:c r="F62" s="105" t="str">
        <x:v>Role of the World Bank.</x:v>
      </x:c>
      <x:c r="G62" s="106" t="n">
        <x:v>34</x:v>
      </x:c>
      <x:c r="H62" s="118" t="n">
        <x:v>0.5</x:v>
      </x:c>
      <x:c r="I62" s="60" t="str">
        <x:v>Yes</x:v>
      </x:c>
      <x:c r="J62" s="119" t="n">
        <x:v>0.5</x:v>
      </x:c>
      <x:c r="K62" s="107" t="n">
        <x:f>IF(I62="Yes",J62,0)</x:f>
        <x:v>0.5</x:v>
      </x:c>
      <x:c r="L62" s="107" t="n">
        <x:f>SUM($H$8:H62)</x:f>
        <x:v>39</x:v>
      </x:c>
      <x:c r="M62" s="107" t="n">
        <x:f>SUM($K$8:K62)</x:f>
        <x:v>39</x:v>
      </x:c>
      <x:c r="N62" s="52" t="str">
        <x:f>IF(I62&lt;&gt;"Yes","Deferred",IF(M62&lt;='Overview'!$B$10,"Fits","Over capacity"))</x:f>
        <x:v>Over capacity</x:v>
      </x:c>
      <x:c r="O62" s="105" t="str">
        <x:v>Not started</x:v>
      </x:c>
      <x:c r="P62" s="105" t="str"/>
    </x:row>
    <x:row r="63" ht="64" customHeight="1">
      <x:c r="A63" s="105" t="str">
        <x:v>International economics</x:v>
      </x:c>
      <x:c r="B63" s="52" t="n">
        <x:v>11</x:v>
      </x:c>
      <x:c r="C63" s="52" t="str">
        <x:v>11.6</x:v>
      </x:c>
      <x:c r="D63" s="52" t="str">
        <x:v>Globalisation</x:v>
      </x:c>
      <x:c r="E63" s="52" t="str">
        <x:v>11.6.1</x:v>
      </x:c>
      <x:c r="F63" s="105" t="str">
        <x:v>Meaning of globalisation and its causes and consequences.</x:v>
      </x:c>
      <x:c r="G63" s="106" t="n">
        <x:v>34</x:v>
      </x:c>
      <x:c r="H63" s="118" t="n">
        <x:v>1</x:v>
      </x:c>
      <x:c r="I63" s="60" t="str">
        <x:v>Yes</x:v>
      </x:c>
      <x:c r="J63" s="119" t="n">
        <x:v>1</x:v>
      </x:c>
      <x:c r="K63" s="107" t="n">
        <x:f>IF(I63="Yes",J63,0)</x:f>
        <x:v>1</x:v>
      </x:c>
      <x:c r="L63" s="107" t="n">
        <x:f>SUM($H$8:H63)</x:f>
        <x:v>40</x:v>
      </x:c>
      <x:c r="M63" s="107" t="n">
        <x:f>SUM($K$8:K63)</x:f>
        <x:v>40</x:v>
      </x:c>
      <x:c r="N63" s="52" t="str">
        <x:f>IF(I63&lt;&gt;"Yes","Deferred",IF(M63&lt;='Overview'!$B$10,"Fits","Over capacity"))</x:f>
        <x:v>Over capacity</x:v>
      </x:c>
      <x:c r="O63" s="105" t="str">
        <x:v>Not started</x:v>
      </x:c>
      <x:c r="P63" s="105" t="str"/>
    </x:row>
    <x:row r="64" ht="64" customHeight="1">
      <x:c r="A64" s="105" t="str">
        <x:v>International economics</x:v>
      </x:c>
      <x:c r="B64" s="52" t="n">
        <x:v>11</x:v>
      </x:c>
      <x:c r="C64" s="52" t="str">
        <x:v>11.6</x:v>
      </x:c>
      <x:c r="D64" s="52" t="str">
        <x:v>Globalisation</x:v>
      </x:c>
      <x:c r="E64" s="52" t="str">
        <x:v>11.6.2</x:v>
      </x:c>
      <x:c r="F64" s="105" t="str">
        <x:v>Distinction between a free trade area, customs union, monetary union and full economic union.</x:v>
      </x:c>
      <x:c r="G64" s="106" t="n">
        <x:v>34</x:v>
      </x:c>
      <x:c r="H64" s="118" t="n">
        <x:v>1</x:v>
      </x:c>
      <x:c r="I64" s="60" t="str">
        <x:v>Yes</x:v>
      </x:c>
      <x:c r="J64" s="119" t="n">
        <x:v>1</x:v>
      </x:c>
      <x:c r="K64" s="107" t="n">
        <x:f>IF(I64="Yes",J64,0)</x:f>
        <x:v>1</x:v>
      </x:c>
      <x:c r="L64" s="107" t="n">
        <x:f>SUM($H$8:H64)</x:f>
        <x:v>41</x:v>
      </x:c>
      <x:c r="M64" s="107" t="n">
        <x:f>SUM($K$8:K64)</x:f>
        <x:v>41</x:v>
      </x:c>
      <x:c r="N64" s="52" t="str">
        <x:f>IF(I64&lt;&gt;"Yes","Deferred",IF(M64&lt;='Overview'!$B$10,"Fits","Over capacity"))</x:f>
        <x:v>Over capacity</x:v>
      </x:c>
      <x:c r="O64" s="105" t="str">
        <x:v>Not started</x:v>
      </x:c>
      <x:c r="P64" s="105" t="str"/>
    </x:row>
    <x:row r="65" ht="64" customHeight="1">
      <x:c r="A65" s="105" t="str">
        <x:v>International economics</x:v>
      </x:c>
      <x:c r="B65" s="52" t="n">
        <x:v>11</x:v>
      </x:c>
      <x:c r="C65" s="52" t="str">
        <x:v>11.6</x:v>
      </x:c>
      <x:c r="D65" s="52" t="str">
        <x:v>Globalisation</x:v>
      </x:c>
      <x:c r="E65" s="52" t="str">
        <x:v>11.6.3</x:v>
      </x:c>
      <x:c r="F65" s="105" t="str">
        <x:v>Trade creation and trade diversion.</x:v>
      </x:c>
      <x:c r="G65" s="106" t="n">
        <x:v>34</x:v>
      </x:c>
      <x:c r="H65" s="118" t="n">
        <x:v>1</x:v>
      </x:c>
      <x:c r="I65" s="60" t="str">
        <x:v>Yes</x:v>
      </x:c>
      <x:c r="J65" s="119" t="n">
        <x:v>1</x:v>
      </x:c>
      <x:c r="K65" s="107" t="n">
        <x:f>IF(I65="Yes",J65,0)</x:f>
        <x:v>1</x:v>
      </x:c>
      <x:c r="L65" s="107" t="n">
        <x:f>SUM($H$8:H65)</x:f>
        <x:v>42</x:v>
      </x:c>
      <x:c r="M65" s="107" t="n">
        <x:f>SUM($K$8:K65)</x:f>
        <x:v>42</x:v>
      </x:c>
      <x:c r="N65" s="52" t="str">
        <x:f>IF(I65&lt;&gt;"Yes","Deferred",IF(M65&lt;='Overview'!$B$10,"Fits","Over capacity"))</x:f>
        <x:v>Over capacity</x:v>
      </x:c>
      <x:c r="O65" s="105" t="str">
        <x:v>Not started</x:v>
      </x:c>
      <x:c r="P65" s="105" t="str"/>
    </x:row>
  </x:sheetData>
  <x:mergeCells>
    <x:mergeCell ref="A1:P2"/>
    <x:mergeCell ref="A3:P3"/>
    <x:mergeCell ref="A5:P5"/>
  </x:mergeCells>
  <x:conditionalFormatting sqref="N8:N65">
    <x:cfRule type="containsText" dxfId="8" priority="1" operator="containsText" text="Fits"/>
    <x:cfRule type="containsText" dxfId="9" priority="2" operator="containsText" text="Over"/>
    <x:cfRule type="containsText" dxfId="10" priority="3" operator="containsText" text="Deferred"/>
  </x:conditionalFormatting>
  <x:conditionalFormatting sqref="O8:O65">
    <x:cfRule type="containsText" dxfId="11" priority="4" operator="containsText" text="Taught"/>
    <x:cfRule type="containsText" dxfId="12" priority="5" operator="containsText" text="Revisit"/>
  </x:conditionalFormatting>
  <x:dataValidations count="2">
    <x:dataValidation type="list" sqref="I8:I65">
      <x:formula1>"Yes,No"</x:formula1>
    </x:dataValidation>
    <x:dataValidation type="list" sqref="O8:O65">
      <x:formula1>"Not started,Planned,Taught,Revisit"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ce275671084d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42" hidden="0" customWidth="1"/>
    <x:col min="4" max="4" width="19" hidden="0" customWidth="1"/>
    <x:col min="5" max="5" width="66" hidden="0" customWidth="1"/>
    <x:col min="6" max="6" width="30" hidden="0" customWidth="1"/>
  </x:cols>
  <x:sheetData>
    <x:row r="1" ht="28" customHeight="1">
      <x:c r="A1" s="3" t="str">
        <x:v>32-Lesson Content-Only Model</x:v>
      </x:c>
      <x:c r="B1" s="3" t="str">
        <x:v>32-Lesson Content-Only Model</x:v>
      </x:c>
      <x:c r="C1" s="3" t="str">
        <x:v>32-Lesson Content-Only Model</x:v>
      </x:c>
      <x:c r="D1" s="3" t="str">
        <x:v>32-Lesson Content-Only Model</x:v>
      </x:c>
      <x:c r="E1" s="3" t="str">
        <x:v>32-Lesson Content-Only Model</x:v>
      </x:c>
      <x:c r="F1" s="3" t="str">
        <x:v>32-Lesson Content-Only Model</x:v>
      </x:c>
    </x:row>
    <x:row r="2" ht="28" customHeight="1">
      <x:c r="A2" s="3" t="str">
        <x:v>32-Lesson Content-Only Model</x:v>
      </x:c>
      <x:c r="B2" s="3" t="str">
        <x:v>32-Lesson Content-Only Model</x:v>
      </x:c>
      <x:c r="C2" s="3" t="str">
        <x:v>32-Lesson Content-Only Model</x:v>
      </x:c>
      <x:c r="D2" s="3" t="str">
        <x:v>32-Lesson Content-Only Model</x:v>
      </x:c>
      <x:c r="E2" s="3" t="str">
        <x:v>32-Lesson Content-Only Model</x:v>
      </x:c>
      <x:c r="F2" s="3" t="str">
        <x:v>32-Lesson Content-Only Model</x:v>
      </x:c>
    </x:row>
    <x:row r="3" ht="34" customHeight="1">
      <x:c r="A3" s="9" t="str">
        <x:v>An aggressive 16-week sequence that uses every lesson for new content and reaches 11.3.4. It does not include separate review or assessment lessons.</x:v>
      </x:c>
      <x:c r="B3" s="9" t="str">
        <x:v>An aggressive 16-week sequence that uses every lesson for new content and reaches 11.3.4. It does not include separate review or assessment lessons.</x:v>
      </x:c>
      <x:c r="C3" s="9" t="str">
        <x:v>An aggressive 16-week sequence that uses every lesson for new content and reaches 11.3.4. It does not include separate review or assessment lessons.</x:v>
      </x:c>
      <x:c r="D3" s="9" t="str">
        <x:v>An aggressive 16-week sequence that uses every lesson for new content and reaches 11.3.4. It does not include separate review or assessment lessons.</x:v>
      </x:c>
      <x:c r="E3" s="9" t="str">
        <x:v>An aggressive 16-week sequence that uses every lesson for new content and reaches 11.3.4. It does not include separate review or assessment lessons.</x:v>
      </x:c>
      <x:c r="F3" s="9" t="str">
        <x:v>An aggressive 16-week sequence that uses every lesson for new content and reaches 11.3.4. It does not include separate review or assessment lessons.</x:v>
      </x:c>
    </x:row>
    <x:row r="4">
      <x:c r="A4" s="10"/>
      <x:c r="B4" s="10"/>
      <x:c r="C4" s="10"/>
      <x:c r="D4" s="10"/>
      <x:c r="E4" s="10"/>
      <x:c r="F4" s="10"/>
    </x:row>
    <x:row r="5" ht="36" customHeight="1">
      <x:c r="A5" s="99" t="str">
        <x:v>To protect four lessons for review/assessment, use Overview's default 28-content-lesson scenario; it fully covers sections 9 and 10 plus 11.1-11.2 in the baseline allocation.</x:v>
      </x:c>
      <x:c r="B5" s="99" t="str">
        <x:v>To protect four lessons for review/assessment, use Overview's default 28-content-lesson scenario; it fully covers sections 9 and 10 plus 11.1-11.2 in the baseline allocation.</x:v>
      </x:c>
      <x:c r="C5" s="99" t="str">
        <x:v>To protect four lessons for review/assessment, use Overview's default 28-content-lesson scenario; it fully covers sections 9 and 10 plus 11.1-11.2 in the baseline allocation.</x:v>
      </x:c>
      <x:c r="D5" s="99" t="str">
        <x:v>To protect four lessons for review/assessment, use Overview's default 28-content-lesson scenario; it fully covers sections 9 and 10 plus 11.1-11.2 in the baseline allocation.</x:v>
      </x:c>
      <x:c r="E5" s="99" t="str">
        <x:v>To protect four lessons for review/assessment, use Overview's default 28-content-lesson scenario; it fully covers sections 9 and 10 plus 11.1-11.2 in the baseline allocation.</x:v>
      </x:c>
      <x:c r="F5" s="99" t="str">
        <x:v>To protect four lessons for review/assessment, use Overview's default 28-content-lesson scenario; it fully covers sections 9 and 10 plus 11.1-11.2 in the baseline allocation.</x:v>
      </x:c>
    </x:row>
    <x:row r="6">
      <x:c r="A6" s="10"/>
      <x:c r="B6" s="10"/>
      <x:c r="C6" s="10"/>
      <x:c r="D6" s="10"/>
      <x:c r="E6" s="10"/>
      <x:c r="F6" s="10"/>
    </x:row>
    <x:row r="7" ht="34" customHeight="1">
      <x:c r="A7" s="37" t="str">
        <x:v>Week</x:v>
      </x:c>
      <x:c r="B7" s="38" t="str">
        <x:v>Lesson</x:v>
      </x:c>
      <x:c r="C7" s="38" t="str">
        <x:v>Focus</x:v>
      </x:c>
      <x:c r="D7" s="38" t="str">
        <x:v>Syllabus codes</x:v>
      </x:c>
      <x:c r="E7" s="38" t="str">
        <x:v>Suggested emphasis / activity</x:v>
      </x:c>
      <x:c r="F7" s="39" t="str">
        <x:v>Use / notes</x:v>
      </x:c>
    </x:row>
    <x:row r="8" ht="48" customHeight="1">
      <x:c r="A8" s="120" t="n">
        <x:v>1</x:v>
      </x:c>
      <x:c r="B8" s="121" t="n">
        <x:v>1</x:v>
      </x:c>
      <x:c r="C8" s="122" t="str">
        <x:v>Multiplier: concept and formulae</x:v>
      </x:c>
      <x:c r="D8" s="122" t="str">
        <x:v>9.1.1</x:v>
      </x:c>
      <x:c r="E8" s="122" t="str">
        <x:v>Closed/open economy multipliers; with/without government; worked examples</x:v>
      </x:c>
      <x:c r="F8" s="124"/>
    </x:row>
    <x:row r="9" ht="48" customHeight="1">
      <x:c r="A9" s="51" t="n">
        <x:v>1</x:v>
      </x:c>
      <x:c r="B9" s="52" t="n">
        <x:v>2</x:v>
      </x:c>
      <x:c r="C9" s="105" t="str">
        <x:v>Multiplier calculations and national income</x:v>
      </x:c>
      <x:c r="D9" s="105" t="str">
        <x:v>9.1.1</x:v>
      </x:c>
      <x:c r="E9" s="105" t="str">
        <x:v>Propensities, AD changes and national-income determination</x:v>
      </x:c>
      <x:c r="F9" s="62"/>
    </x:row>
    <x:row r="10" ht="48" customHeight="1">
      <x:c r="A10" s="51" t="n">
        <x:v>2</x:v>
      </x:c>
      <x:c r="B10" s="52" t="n">
        <x:v>3</x:v>
      </x:c>
      <x:c r="C10" s="105" t="str">
        <x:v>Consumption and savings functions</x:v>
      </x:c>
      <x:c r="D10" s="105" t="str">
        <x:v>9.1.2</x:v>
      </x:c>
      <x:c r="E10" s="105" t="str">
        <x:v>Autonomous/induced consumption and saving; diagrams and calculations</x:v>
      </x:c>
      <x:c r="F10" s="62"/>
    </x:row>
    <x:row r="11" ht="48" customHeight="1">
      <x:c r="A11" s="51" t="n">
        <x:v>2</x:v>
      </x:c>
      <x:c r="B11" s="52" t="n">
        <x:v>4</x:v>
      </x:c>
      <x:c r="C11" s="105" t="str">
        <x:v>Investment, accelerator and income gaps</x:v>
      </x:c>
      <x:c r="D11" s="105" t="str">
        <x:v>9.1.2-9.1.3</x:v>
      </x:c>
      <x:c r="E11" s="105" t="str">
        <x:v>Investment, G, net exports; inflationary/deflationary gaps</x:v>
      </x:c>
      <x:c r="F11" s="62"/>
    </x:row>
    <x:row r="12" ht="48" customHeight="1">
      <x:c r="A12" s="51" t="n">
        <x:v>3</x:v>
      </x:c>
      <x:c r="B12" s="52" t="n">
        <x:v>5</x:v>
      </x:c>
      <x:c r="C12" s="105" t="str">
        <x:v>Actual/potential growth and output gaps</x:v>
      </x:c>
      <x:c r="D12" s="105" t="str">
        <x:v>9.2.1-9.2.2</x:v>
      </x:c>
      <x:c r="E12" s="105" t="str">
        <x:v>Distinguish growth concepts; apply positive/negative output gaps</x:v>
      </x:c>
      <x:c r="F12" s="62"/>
    </x:row>
    <x:row r="13" ht="48" customHeight="1">
      <x:c r="A13" s="51" t="n">
        <x:v>3</x:v>
      </x:c>
      <x:c r="B13" s="52" t="n">
        <x:v>6</x:v>
      </x:c>
      <x:c r="C13" s="105" t="str">
        <x:v>Business cycle</x:v>
      </x:c>
      <x:c r="D13" s="105" t="str">
        <x:v>9.2.3</x:v>
      </x:c>
      <x:c r="E13" s="105" t="str">
        <x:v>Phases, causes and automatic stabilisers</x:v>
      </x:c>
      <x:c r="F13" s="62"/>
    </x:row>
    <x:row r="14" ht="48" customHeight="1">
      <x:c r="A14" s="51" t="n">
        <x:v>4</x:v>
      </x:c>
      <x:c r="B14" s="52" t="n">
        <x:v>7</x:v>
      </x:c>
      <x:c r="C14" s="105" t="str">
        <x:v>Growth policies</x:v>
      </x:c>
      <x:c r="D14" s="105" t="str">
        <x:v>9.2.4</x:v>
      </x:c>
      <x:c r="E14" s="105" t="str">
        <x:v>Policy transmission and effectiveness</x:v>
      </x:c>
      <x:c r="F14" s="62"/>
    </x:row>
    <x:row r="15" ht="48" customHeight="1">
      <x:c r="A15" s="51" t="n">
        <x:v>4</x:v>
      </x:c>
      <x:c r="B15" s="52" t="n">
        <x:v>8</x:v>
      </x:c>
      <x:c r="C15" s="105" t="str">
        <x:v>Inclusive and sustainable growth</x:v>
      </x:c>
      <x:c r="D15" s="105" t="str">
        <x:v>9.2.5-9.2.6</x:v>
      </x:c>
      <x:c r="E15" s="105" t="str">
        <x:v>Equity/equality, resources, climate impacts and mitigation</x:v>
      </x:c>
      <x:c r="F15" s="62"/>
    </x:row>
    <x:row r="16" ht="48" customHeight="1">
      <x:c r="A16" s="51" t="n">
        <x:v>5</x:v>
      </x:c>
      <x:c r="B16" s="52" t="n">
        <x:v>9</x:v>
      </x:c>
      <x:c r="C16" s="105" t="str">
        <x:v>Full employment and unemployment equilibrium</x:v>
      </x:c>
      <x:c r="D16" s="105" t="str">
        <x:v>9.3.1-9.3.2</x:v>
      </x:c>
      <x:c r="E16" s="105" t="str">
        <x:v>Full employment, disequilibrium and hysteresis</x:v>
      </x:c>
      <x:c r="F16" s="62"/>
    </x:row>
    <x:row r="17" ht="48" customHeight="1">
      <x:c r="A17" s="51" t="n">
        <x:v>5</x:v>
      </x:c>
      <x:c r="B17" s="52" t="n">
        <x:v>10</x:v>
      </x:c>
      <x:c r="C17" s="105" t="str">
        <x:v>Voluntary/involuntary and natural unemployment</x:v>
      </x:c>
      <x:c r="D17" s="105" t="str">
        <x:v>9.3.3-9.3.4</x:v>
      </x:c>
      <x:c r="E17" s="105" t="str">
        <x:v>Natural rate determinants and policy implications</x:v>
      </x:c>
      <x:c r="F17" s="62"/>
    </x:row>
    <x:row r="18" ht="48" customHeight="1">
      <x:c r="A18" s="51" t="n">
        <x:v>6</x:v>
      </x:c>
      <x:c r="B18" s="52" t="n">
        <x:v>11</x:v>
      </x:c>
      <x:c r="C18" s="105" t="str">
        <x:v>Employment trends, labour mobility and policies</x:v>
      </x:c>
      <x:c r="D18" s="105" t="str">
        <x:v>9.3.5-9.3.7</x:v>
      </x:c>
      <x:c r="E18" s="105" t="str">
        <x:v>Data interpretation; geographical/occupational mobility; evaluation</x:v>
      </x:c>
      <x:c r="F18" s="62"/>
    </x:row>
    <x:row r="19" ht="48" customHeight="1">
      <x:c r="A19" s="51" t="n">
        <x:v>6</x:v>
      </x:c>
      <x:c r="B19" s="52" t="n">
        <x:v>12</x:v>
      </x:c>
      <x:c r="C19" s="105" t="str">
        <x:v>Money and money supply</x:v>
      </x:c>
      <x:c r="D19" s="105" t="str">
        <x:v>9.4.1-9.4.3</x:v>
      </x:c>
      <x:c r="E19" s="105" t="str">
        <x:v>Functions/characteristics, money supply and MV = PT</x:v>
      </x:c>
      <x:c r="F19" s="62"/>
    </x:row>
    <x:row r="20" ht="48" customHeight="1">
      <x:c r="A20" s="51" t="n">
        <x:v>7</x:v>
      </x:c>
      <x:c r="B20" s="52" t="n">
        <x:v>13</x:v>
      </x:c>
      <x:c r="C20" s="105" t="str">
        <x:v>Commercial banks</x:v>
      </x:c>
      <x:c r="D20" s="105" t="str">
        <x:v>9.4.4</x:v>
      </x:c>
      <x:c r="E20" s="105" t="str">
        <x:v>Accounts, lending, balance-sheet items, ratios and objectives</x:v>
      </x:c>
      <x:c r="F20" s="62"/>
    </x:row>
    <x:row r="21" ht="48" customHeight="1">
      <x:c r="A21" s="51" t="n">
        <x:v>7</x:v>
      </x:c>
      <x:c r="B21" s="52" t="n">
        <x:v>14</x:v>
      </x:c>
      <x:c r="C21" s="105" t="str">
        <x:v>Credit creation and money-supply change</x:v>
      </x:c>
      <x:c r="D21" s="105" t="str">
        <x:v>9.4.5</x:v>
      </x:c>
      <x:c r="E21" s="105" t="str">
        <x:v>Bank credit multiplier, central bank, deficits, QE and BOP</x:v>
      </x:c>
      <x:c r="F21" s="62"/>
    </x:row>
    <x:row r="22" ht="48" customHeight="1">
      <x:c r="A22" s="51" t="n">
        <x:v>8</x:v>
      </x:c>
      <x:c r="B22" s="52" t="n">
        <x:v>15</x:v>
      </x:c>
      <x:c r="C22" s="105" t="str">
        <x:v>Inflation policy and demand for money</x:v>
      </x:c>
      <x:c r="D22" s="105" t="str">
        <x:v>9.4.6-9.4.7</x:v>
      </x:c>
      <x:c r="E22" s="105" t="str">
        <x:v>Policy effectiveness and liquidity preference</x:v>
      </x:c>
      <x:c r="F22" s="62"/>
    </x:row>
    <x:row r="23" ht="48" customHeight="1">
      <x:c r="A23" s="51" t="n">
        <x:v>8</x:v>
      </x:c>
      <x:c r="B23" s="52" t="n">
        <x:v>16</x:v>
      </x:c>
      <x:c r="C23" s="105" t="str">
        <x:v>Interest-rate determination</x:v>
      </x:c>
      <x:c r="D23" s="105" t="str">
        <x:v>9.4.8</x:v>
      </x:c>
      <x:c r="E23" s="105" t="str">
        <x:v>Loanable funds and Keynesian theories</x:v>
      </x:c>
      <x:c r="F23" s="62"/>
    </x:row>
    <x:row r="24" ht="48" customHeight="1">
      <x:c r="A24" s="51" t="n">
        <x:v>9</x:v>
      </x:c>
      <x:c r="B24" s="52" t="n">
        <x:v>17</x:v>
      </x:c>
      <x:c r="C24" s="105" t="str">
        <x:v>Government macroeconomic objectives</x:v>
      </x:c>
      <x:c r="D24" s="105" t="str">
        <x:v>10.1.1</x:v>
      </x:c>
      <x:c r="E24" s="105" t="str">
        <x:v>Inflation, BOP, employment, growth, development, sustainability, redistribution</x:v>
      </x:c>
      <x:c r="F24" s="62"/>
    </x:row>
    <x:row r="25" ht="48" customHeight="1">
      <x:c r="A25" s="51" t="n">
        <x:v>9</x:v>
      </x:c>
      <x:c r="B25" s="52" t="n">
        <x:v>18</x:v>
      </x:c>
      <x:c r="C25" s="105" t="str">
        <x:v>Money values, BOP and inflation links</x:v>
      </x:c>
      <x:c r="D25" s="105" t="str">
        <x:v>10.2.1-10.2.2</x:v>
      </x:c>
      <x:c r="E25" s="105" t="str">
        <x:v>Internal/external value of money and causal links</x:v>
      </x:c>
      <x:c r="F25" s="62"/>
    </x:row>
    <x:row r="26" ht="48" customHeight="1">
      <x:c r="A26" s="51" t="n">
        <x:v>10</x:v>
      </x:c>
      <x:c r="B26" s="52" t="n">
        <x:v>19</x:v>
      </x:c>
      <x:c r="C26" s="105" t="str">
        <x:v>Growth, inflation and BOP links</x:v>
      </x:c>
      <x:c r="D26" s="105" t="str">
        <x:v>10.2.3-10.2.4</x:v>
      </x:c>
      <x:c r="E26" s="105" t="str">
        <x:v>Trade-offs and reinforcing relationships</x:v>
      </x:c>
      <x:c r="F26" s="62"/>
    </x:row>
    <x:row r="27" ht="48" customHeight="1">
      <x:c r="A27" s="51" t="n">
        <x:v>10</x:v>
      </x:c>
      <x:c r="B27" s="52" t="n">
        <x:v>20</x:v>
      </x:c>
      <x:c r="C27" s="105" t="str">
        <x:v>Phillips curves</x:v>
      </x:c>
      <x:c r="D27" s="105" t="str">
        <x:v>10.2.5</x:v>
      </x:c>
      <x:c r="E27" s="105" t="str">
        <x:v>Traditional and expectations-augmented short-/long-run models</x:v>
      </x:c>
      <x:c r="F27" s="62"/>
    </x:row>
    <x:row r="28" ht="48" customHeight="1">
      <x:c r="A28" s="51" t="n">
        <x:v>11</x:v>
      </x:c>
      <x:c r="B28" s="52" t="n">
        <x:v>21</x:v>
      </x:c>
      <x:c r="C28" s="105" t="str">
        <x:v>Fiscal and monetary policy effectiveness</x:v>
      </x:c>
      <x:c r="D28" s="105" t="str">
        <x:v>10.3.1</x:v>
      </x:c>
      <x:c r="E28" s="105" t="str">
        <x:v>Include Laffer curve analysis; objectives and constraints</x:v>
      </x:c>
      <x:c r="F28" s="62"/>
    </x:row>
    <x:row r="29" ht="48" customHeight="1">
      <x:c r="A29" s="51" t="n">
        <x:v>11</x:v>
      </x:c>
      <x:c r="B29" s="52" t="n">
        <x:v>22</x:v>
      </x:c>
      <x:c r="C29" s="105" t="str">
        <x:v>Supply-side, exchange-rate and trade policies</x:v>
      </x:c>
      <x:c r="D29" s="105" t="str">
        <x:v>10.3.1</x:v>
      </x:c>
      <x:c r="E29" s="105" t="str">
        <x:v>Market-based/interventionist approaches and policy comparison</x:v>
      </x:c>
      <x:c r="F29" s="62"/>
    </x:row>
    <x:row r="30" ht="48" customHeight="1">
      <x:c r="A30" s="51" t="n">
        <x:v>12</x:v>
      </x:c>
      <x:c r="B30" s="52" t="n">
        <x:v>23</x:v>
      </x:c>
      <x:c r="C30" s="105" t="str">
        <x:v>Policy conflicts and government failure</x:v>
      </x:c>
      <x:c r="D30" s="105" t="str">
        <x:v>10.3.2-10.3.3</x:v>
      </x:c>
      <x:c r="E30" s="105" t="str">
        <x:v>Synoptic evaluation using macro objectives</x:v>
      </x:c>
      <x:c r="F30" s="62"/>
    </x:row>
    <x:row r="31" ht="48" customHeight="1">
      <x:c r="A31" s="51" t="n">
        <x:v>12</x:v>
      </x:c>
      <x:c r="B31" s="52" t="n">
        <x:v>24</x:v>
      </x:c>
      <x:c r="C31" s="105" t="str">
        <x:v>Full balance-of-payments accounts</x:v>
      </x:c>
      <x:c r="D31" s="105" t="str">
        <x:v>11.1.1</x:v>
      </x:c>
      <x:c r="E31" s="105" t="str">
        <x:v>Current, financial and capital accounts</x:v>
      </x:c>
      <x:c r="F31" s="62"/>
    </x:row>
    <x:row r="32" ht="48" customHeight="1">
      <x:c r="A32" s="51" t="n">
        <x:v>13</x:v>
      </x:c>
      <x:c r="B32" s="52" t="n">
        <x:v>25</x:v>
      </x:c>
      <x:c r="C32" s="105" t="str">
        <x:v>Correcting BOP disequilibrium</x:v>
      </x:c>
      <x:c r="D32" s="105" t="str">
        <x:v>11.1.2-11.1.3</x:v>
      </x:c>
      <x:c r="E32" s="105" t="str">
        <x:v>Policy effects; expenditure-switching versus reducing</x:v>
      </x:c>
      <x:c r="F32" s="62"/>
    </x:row>
    <x:row r="33" ht="48" customHeight="1">
      <x:c r="A33" s="51" t="n">
        <x:v>13</x:v>
      </x:c>
      <x:c r="B33" s="52" t="n">
        <x:v>26</x:v>
      </x:c>
      <x:c r="C33" s="105" t="str">
        <x:v>Measuring exchange rates</x:v>
      </x:c>
      <x:c r="D33" s="105" t="str">
        <x:v>11.2.1</x:v>
      </x:c>
      <x:c r="E33" s="105" t="str">
        <x:v>Nominal, real and trade-weighted rates</x:v>
      </x:c>
      <x:c r="F33" s="62"/>
    </x:row>
    <x:row r="34" ht="48" customHeight="1">
      <x:c r="A34" s="51" t="n">
        <x:v>14</x:v>
      </x:c>
      <x:c r="B34" s="52" t="n">
        <x:v>27</x:v>
      </x:c>
      <x:c r="C34" s="105" t="str">
        <x:v>Fixed and managed exchange rates</x:v>
      </x:c>
      <x:c r="D34" s="105" t="str">
        <x:v>11.2.2-11.2.4</x:v>
      </x:c>
      <x:c r="E34" s="105" t="str">
        <x:v>Determination, revaluation/devaluation and system changes</x:v>
      </x:c>
      <x:c r="F34" s="62"/>
    </x:row>
    <x:row r="35" ht="48" customHeight="1">
      <x:c r="A35" s="51" t="n">
        <x:v>14</x:v>
      </x:c>
      <x:c r="B35" s="52" t="n">
        <x:v>28</x:v>
      </x:c>
      <x:c r="C35" s="105" t="str">
        <x:v>Marshall-Lerner and J curve</x:v>
      </x:c>
      <x:c r="D35" s="105" t="str">
        <x:v>11.2.5</x:v>
      </x:c>
      <x:c r="E35" s="105" t="str">
        <x:v>Effects of exchange-rate changes on the external economy</x:v>
      </x:c>
      <x:c r="F35" s="62"/>
    </x:row>
    <x:row r="36" ht="48" customHeight="1">
      <x:c r="A36" s="51" t="n">
        <x:v>15</x:v>
      </x:c>
      <x:c r="B36" s="52" t="n">
        <x:v>29</x:v>
      </x:c>
      <x:c r="C36" s="105" t="str">
        <x:v>Development classifications</x:v>
      </x:c>
      <x:c r="D36" s="105" t="str">
        <x:v>11.3.1-11.3.2</x:v>
      </x:c>
      <x:c r="E36" s="105" t="str">
        <x:v>Levels of development and national income</x:v>
      </x:c>
      <x:c r="F36" s="62"/>
    </x:row>
    <x:row r="37" ht="48" customHeight="1">
      <x:c r="A37" s="51" t="n">
        <x:v>15</x:v>
      </x:c>
      <x:c r="B37" s="52" t="n">
        <x:v>30</x:v>
      </x:c>
      <x:c r="C37" s="105" t="str">
        <x:v>Monetary development indicators</x:v>
      </x:c>
      <x:c r="D37" s="105" t="str">
        <x:v>11.3.3</x:v>
      </x:c>
      <x:c r="E37" s="105" t="str">
        <x:v>Real per-capita GDP/GNI/NNI, PPP and comparison issues</x:v>
      </x:c>
      <x:c r="F37" s="62"/>
    </x:row>
    <x:row r="38" ht="48" customHeight="1">
      <x:c r="A38" s="51" t="n">
        <x:v>16</x:v>
      </x:c>
      <x:c r="B38" s="52" t="n">
        <x:v>31</x:v>
      </x:c>
      <x:c r="C38" s="105" t="str">
        <x:v>Non-monetary and composite indicators</x:v>
      </x:c>
      <x:c r="D38" s="105" t="str">
        <x:v>11.3.3</x:v>
      </x:c>
      <x:c r="E38" s="105" t="str">
        <x:v>HDI, MEW, MPI and Kuznets curve</x:v>
      </x:c>
      <x:c r="F38" s="62"/>
    </x:row>
    <x:row r="39" ht="48" customHeight="1">
      <x:c r="A39" s="55" t="n">
        <x:v>16</x:v>
      </x:c>
      <x:c r="B39" s="56" t="n">
        <x:v>32</x:v>
      </x:c>
      <x:c r="C39" s="109" t="str">
        <x:v>Comparing growth and living standards</x:v>
      </x:c>
      <x:c r="D39" s="109" t="str">
        <x:v>11.3.4</x:v>
      </x:c>
      <x:c r="E39" s="109" t="str">
        <x:v>Over time and between countries; synoptic data exercise</x:v>
      </x:c>
      <x:c r="F39" s="125"/>
    </x:row>
    <x:row r="40" ht="26" customHeight="1">
      <x:c r="A40" s="127" t="str">
        <x:v>Deferred after the 32-lesson content-only route</x:v>
      </x:c>
      <x:c r="B40" s="127" t="str">
        <x:v>Deferred after the 32-lesson content-only route</x:v>
      </x:c>
      <x:c r="C40" s="127" t="str">
        <x:v>Deferred after the 32-lesson content-only route</x:v>
      </x:c>
      <x:c r="D40" s="127" t="str">
        <x:v>Deferred after the 32-lesson content-only route</x:v>
      </x:c>
      <x:c r="E40" s="127" t="str">
        <x:v>Deferred after the 32-lesson content-only route</x:v>
      </x:c>
      <x:c r="F40" s="127" t="str">
        <x:v>Deferred after the 32-lesson content-only route</x:v>
      </x:c>
    </x:row>
    <x:row r="41">
      <x:c r="A41" s="42" t="str">
        <x:v>Subtopic</x:v>
      </x:c>
      <x:c r="B41" s="43" t="str">
        <x:v>Title</x:v>
      </x:c>
      <x:c r="C41" s="43" t="str">
        <x:v>Title</x:v>
      </x:c>
      <x:c r="D41" s="43" t="str">
        <x:v>Title</x:v>
      </x:c>
      <x:c r="E41" s="43" t="str">
        <x:v>Title</x:v>
      </x:c>
      <x:c r="F41" s="44" t="str">
        <x:v>Baseline lessons</x:v>
      </x:c>
    </x:row>
    <x:row r="42" ht="34" customHeight="1">
      <x:c r="A42" s="45" t="str">
        <x:v>11.4</x:v>
      </x:c>
      <x:c r="B42" s="10" t="str">
        <x:v>Characteristics of countries at different levels of development</x:v>
      </x:c>
      <x:c r="C42" s="10" t="str">
        <x:v>Characteristics of countries at different levels of development</x:v>
      </x:c>
      <x:c r="D42" s="10" t="str">
        <x:v>Characteristics of countries at different levels of development</x:v>
      </x:c>
      <x:c r="E42" s="10" t="str">
        <x:v>Characteristics of countries at different levels of development</x:v>
      </x:c>
      <x:c r="F42" s="138" t="n">
        <x:v>3</x:v>
      </x:c>
    </x:row>
    <x:row r="43" ht="34" customHeight="1">
      <x:c r="A43" s="45" t="str">
        <x:v>11.5</x:v>
      </x:c>
      <x:c r="B43" s="10" t="str">
        <x:v>Relationships between countries at different levels of development</x:v>
      </x:c>
      <x:c r="C43" s="10" t="str">
        <x:v>Relationships between countries at different levels of development</x:v>
      </x:c>
      <x:c r="D43" s="10" t="str">
        <x:v>Relationships between countries at different levels of development</x:v>
      </x:c>
      <x:c r="E43" s="10" t="str">
        <x:v>Relationships between countries at different levels of development</x:v>
      </x:c>
      <x:c r="F43" s="138" t="n">
        <x:v>4</x:v>
      </x:c>
    </x:row>
    <x:row r="44" ht="34" customHeight="1">
      <x:c r="A44" s="45" t="str">
        <x:v>11.6</x:v>
      </x:c>
      <x:c r="B44" s="10" t="str">
        <x:v>Globalisation</x:v>
      </x:c>
      <x:c r="C44" s="10" t="str">
        <x:v>Globalisation</x:v>
      </x:c>
      <x:c r="D44" s="10" t="str">
        <x:v>Globalisation</x:v>
      </x:c>
      <x:c r="E44" s="10" t="str">
        <x:v>Globalisation</x:v>
      </x:c>
      <x:c r="F44" s="138" t="n">
        <x:v>3</x:v>
      </x:c>
    </x:row>
    <x:row r="45">
      <x:c r="A45" s="135" t="str">
        <x:v>Additional lessons required</x:v>
      </x:c>
      <x:c r="B45" s="136" t="str">
        <x:v>Additional lessons required</x:v>
      </x:c>
      <x:c r="C45" s="136" t="str">
        <x:v>Additional lessons required</x:v>
      </x:c>
      <x:c r="D45" s="136" t="str">
        <x:v>Additional lessons required</x:v>
      </x:c>
      <x:c r="E45" s="136" t="str">
        <x:v>Additional lessons required</x:v>
      </x:c>
      <x:c r="F45" s="139" t="n">
        <x:f>SUM(F42:F44)</x:f>
        <x:v>10</x:v>
      </x:c>
    </x:row>
    <x:row r="46">
      <x:c r="A46" s="10"/>
      <x:c r="B46" s="10"/>
      <x:c r="C46" s="10"/>
      <x:c r="D46" s="10"/>
      <x:c r="E46" s="10"/>
      <x:c r="F46" s="10"/>
    </x:row>
    <x:row r="47" ht="30" customHeight="1">
      <x:c r="A47" s="96" t="str">
        <x:v>Source: AS &amp; A Economics Syllabus 2026-2028.pdf, pages 29-34. Lesson allocations are editable planning judgements, not official Cambridge teaching hours.</x:v>
      </x:c>
      <x:c r="B47" s="96" t="str">
        <x:v>Source: AS &amp; A Economics Syllabus 2026-2028.pdf, pages 29-34. Lesson allocations are editable planning judgements, not official Cambridge teaching hours.</x:v>
      </x:c>
      <x:c r="C47" s="96" t="str">
        <x:v>Source: AS &amp; A Economics Syllabus 2026-2028.pdf, pages 29-34. Lesson allocations are editable planning judgements, not official Cambridge teaching hours.</x:v>
      </x:c>
      <x:c r="D47" s="96" t="str">
        <x:v>Source: AS &amp; A Economics Syllabus 2026-2028.pdf, pages 29-34. Lesson allocations are editable planning judgements, not official Cambridge teaching hours.</x:v>
      </x:c>
      <x:c r="E47" s="96" t="str">
        <x:v>Source: AS &amp; A Economics Syllabus 2026-2028.pdf, pages 29-34. Lesson allocations are editable planning judgements, not official Cambridge teaching hours.</x:v>
      </x:c>
      <x:c r="F47" s="96" t="str">
        <x:v>Source: AS &amp; A Economics Syllabus 2026-2028.pdf, pages 29-34. Lesson allocations are editable planning judgements, not official Cambridge teaching hours.</x:v>
      </x:c>
    </x:row>
  </x:sheetData>
  <x:mergeCells>
    <x:mergeCell ref="A1:F2"/>
    <x:mergeCell ref="A3:F3"/>
    <x:mergeCell ref="A5:F5"/>
    <x:mergeCell ref="A40:F40"/>
    <x:mergeCell ref="B41:E41"/>
    <x:mergeCell ref="B42:E42"/>
    <x:mergeCell ref="B43:E43"/>
    <x:mergeCell ref="B44:E44"/>
    <x:mergeCell ref="A45:E45"/>
    <x:mergeCell ref="A47:F47"/>
  </x:mergeCells>
  <x:pageMargins left="0.7" right="0.7" top="0.75" bottom="0.75" header="0.3" footer="0.3"/>
</x:worksheet>
</file>