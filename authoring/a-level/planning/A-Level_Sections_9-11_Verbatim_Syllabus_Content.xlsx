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ehle\Documents\a-level\outputs\a-level-syllabus-verbatim-20260831\"/>
    </mc:Choice>
  </mc:AlternateContent>
  <xr:revisionPtr revIDLastSave="0" documentId="13_ncr:1_{95617E4D-B310-4D7C-81B4-E3BAC41C33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9 Macroeconomy" sheetId="2" r:id="rId1"/>
    <sheet name="10 Government Macro" sheetId="3" r:id="rId2"/>
    <sheet name="11 Internation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27" i="2"/>
</calcChain>
</file>

<file path=xl/sharedStrings.xml><?xml version="1.0" encoding="utf-8"?>
<sst xmlns="http://schemas.openxmlformats.org/spreadsheetml/2006/main" count="230" uniqueCount="173">
  <si>
    <t>The macroeconomy (A Level)</t>
  </si>
  <si>
    <t>Subtopic</t>
  </si>
  <si>
    <t>Subtopic title</t>
  </si>
  <si>
    <t>Syllabus code</t>
  </si>
  <si>
    <t>Exact syllabus wording</t>
  </si>
  <si>
    <t>Included bullet points</t>
  </si>
  <si>
    <t>Number of lessons</t>
  </si>
  <si>
    <t>9.1</t>
  </si>
  <si>
    <t>The circular flow of income</t>
  </si>
  <si>
    <t>9.1.1</t>
  </si>
  <si>
    <t>the multiplier process:</t>
  </si>
  <si>
    <t>• definition of the multiplier
• formulae for and calculation of multiplier in a closed and open economy, with and without a government sector
• calculation of:
   – average and marginal propensities to save (aps and mps)
   – average and marginal propensities to consume (apc and mpc)
   – average and marginal propensities to import (apm and mpm)
   – average and marginal rates of tax (art and mrt)
• national income determination using AD and income approach with the multiplier process
• calculation of effect of changing AD on national income using the multiplier</t>
  </si>
  <si>
    <t>9.1.2</t>
  </si>
  <si>
    <t>components of Aggregate Demand (AD) and their determinants:</t>
  </si>
  <si>
    <t>• consumption function: autonomous and induced consumer expenditure
• savings function: autonomous and induced savings
• autonomous and induced investment; the accelerator
• government spending
• net exports (exports minus imports)</t>
  </si>
  <si>
    <t>9.1.3</t>
  </si>
  <si>
    <t>full employment level of national income and equilibrium level of national income:</t>
  </si>
  <si>
    <t>• inflationary and deflationary gaps</t>
  </si>
  <si>
    <t>9.2</t>
  </si>
  <si>
    <t>Economic growth and sustainability</t>
  </si>
  <si>
    <t>9.2.1</t>
  </si>
  <si>
    <t>actual growth versus potential growth in national output</t>
  </si>
  <si>
    <t>9.2.2</t>
  </si>
  <si>
    <t>positive and negative output gaps</t>
  </si>
  <si>
    <t>9.2.3</t>
  </si>
  <si>
    <t>business (trade) cycle:</t>
  </si>
  <si>
    <t>• phases of the cycle
• causes of the cycle
• role of automatic stabilisers</t>
  </si>
  <si>
    <t>9.2.4</t>
  </si>
  <si>
    <t>policies to promote economic growth and their effectiveness</t>
  </si>
  <si>
    <t>9.2.5</t>
  </si>
  <si>
    <t>inclusive economic growth:</t>
  </si>
  <si>
    <t>• definition of inclusive economic growth
• impact of economic growth on equity and equality
• policies to promote inclusive growth</t>
  </si>
  <si>
    <t>9.2.6</t>
  </si>
  <si>
    <t>sustainable economic growth:</t>
  </si>
  <si>
    <t>• definition of sustainable economic growth
• using and conserving resources
• impact of economic growth on the environment and climate change
• policies to mitigate the impact of economic growth on the environment and climate change</t>
  </si>
  <si>
    <t>9.3</t>
  </si>
  <si>
    <t>Employment/unemployment</t>
  </si>
  <si>
    <t>9.3.1</t>
  </si>
  <si>
    <t>definition of full employment</t>
  </si>
  <si>
    <t>9.3.2</t>
  </si>
  <si>
    <t>equilibrium and disequilibrium unemployment (including hysteresis)</t>
  </si>
  <si>
    <t>9.3.3</t>
  </si>
  <si>
    <t>voluntary and involuntary unemployment</t>
  </si>
  <si>
    <t>9.3.4</t>
  </si>
  <si>
    <t>natural rate of unemployment:</t>
  </si>
  <si>
    <t>• definition
• determinants
• policy implications</t>
  </si>
  <si>
    <t>9.3.5</t>
  </si>
  <si>
    <t>patterns and trends in (un)employment</t>
  </si>
  <si>
    <t>9.3.6</t>
  </si>
  <si>
    <t>mobility of labour:</t>
  </si>
  <si>
    <t>• forms of labour mobility: geographical and occupational
• factors affecting labour mobility</t>
  </si>
  <si>
    <t>9.3.7</t>
  </si>
  <si>
    <t>policies to reduce unemployment and their effectiveness</t>
  </si>
  <si>
    <t>9.4</t>
  </si>
  <si>
    <t>Money and banking</t>
  </si>
  <si>
    <t>9.4.1</t>
  </si>
  <si>
    <t>definition, functions and characteristics of money</t>
  </si>
  <si>
    <t>9.4.2</t>
  </si>
  <si>
    <t>definition of money supply</t>
  </si>
  <si>
    <t>9.4.3</t>
  </si>
  <si>
    <t>quantity theory of money (MV = PT)</t>
  </si>
  <si>
    <t>9.4.4</t>
  </si>
  <si>
    <t>functions of commercial banks:</t>
  </si>
  <si>
    <t>• providing deposit accounts (demand deposit account, savings account)
• lending money (overdrafts, loans)
• holding or providing cash, securities, loans, deposits, equity
• reserve ratio and capital ratio
• objectives of commercial banks: liquidity, security, profitability</t>
  </si>
  <si>
    <t>9.4.5</t>
  </si>
  <si>
    <t>causes of changes in the money supply in an open economy:</t>
  </si>
  <si>
    <t>• commercial banks as sources of credit creation and the bank credit multiplier
• role of a central bank
• government deficit financing
• quantitative easing
• changes in the balance of payments</t>
  </si>
  <si>
    <t>9.4.6</t>
  </si>
  <si>
    <t>policies to reduce inflation and their effectiveness</t>
  </si>
  <si>
    <t>9.4.7</t>
  </si>
  <si>
    <t>demand for money: liquidity preference theory</t>
  </si>
  <si>
    <t>9.4.8</t>
  </si>
  <si>
    <t>interest rate determination: loanable funds theory and Keynesian theory</t>
  </si>
  <si>
    <t>Government macroeconomic intervention (A Level)</t>
  </si>
  <si>
    <t>10.1</t>
  </si>
  <si>
    <t>Government macroeconomic policy objectives</t>
  </si>
  <si>
    <t>10.1.1</t>
  </si>
  <si>
    <t>objectives in terms of inflation, balance of payments, unemployment, growth, development, sustainability and redistribution of income and wealth</t>
  </si>
  <si>
    <t>10.2</t>
  </si>
  <si>
    <t>Links between macroeconomic problems and their interrelatedness</t>
  </si>
  <si>
    <t>10.2.1</t>
  </si>
  <si>
    <t>relationship between the internal value of money and the external value of money</t>
  </si>
  <si>
    <t>10.2.2</t>
  </si>
  <si>
    <t>relationship between the balance of payments and inflation</t>
  </si>
  <si>
    <t>10.2.3</t>
  </si>
  <si>
    <t>relationship between growth and inflation</t>
  </si>
  <si>
    <t>10.2.4</t>
  </si>
  <si>
    <t>relationship between growth and the balance of payments</t>
  </si>
  <si>
    <t>10.2.5</t>
  </si>
  <si>
    <t>relationship between inflation and unemployment:</t>
  </si>
  <si>
    <t>• traditional Phillips curve
• expectations-augmented Phillips curve (short- and long-run Phillips curve)</t>
  </si>
  <si>
    <t>10.3</t>
  </si>
  <si>
    <t>Effectiveness of policy options to meet all macroeconomic objectives</t>
  </si>
  <si>
    <t>10.3.1</t>
  </si>
  <si>
    <t>effectiveness of different policies in relation to different macroeconomic objectives:</t>
  </si>
  <si>
    <t>• fiscal policy including Laffer curve analysis
• monetary policy
• supply-side policy including market-based and interventionist policies
• exchange rate policy
• international trade policy</t>
  </si>
  <si>
    <t>10.3.2</t>
  </si>
  <si>
    <t>problems and conflicts arising from the outcome of these policies</t>
  </si>
  <si>
    <t>10.3.3</t>
  </si>
  <si>
    <t>existence of government failure in macroeconomic policies</t>
  </si>
  <si>
    <t>International economic issues (A Level)</t>
  </si>
  <si>
    <t>11.1</t>
  </si>
  <si>
    <t>Policies to correct disequilibrium in the balance of payments</t>
  </si>
  <si>
    <t>11.1.1</t>
  </si>
  <si>
    <t>components of the balance of payments accounts: current account, financial account and capital account</t>
  </si>
  <si>
    <t>11.1.2</t>
  </si>
  <si>
    <t>effect of fiscal, monetary, supply-side, protectionist and exchange rate policies on the balance of payments</t>
  </si>
  <si>
    <t>11.1.3</t>
  </si>
  <si>
    <t>difference between expenditure-switching and expenditure-reducing policies</t>
  </si>
  <si>
    <t>11.2</t>
  </si>
  <si>
    <t>Exchange rates</t>
  </si>
  <si>
    <t>11.2.1</t>
  </si>
  <si>
    <t>measurement of exchange rates:</t>
  </si>
  <si>
    <t>• distinction between nominal and real exchange rates
• trade-weighted exchange rates</t>
  </si>
  <si>
    <t>11.2.2</t>
  </si>
  <si>
    <t>determination of exchange rates under fixed and managed systems</t>
  </si>
  <si>
    <t>11.2.3</t>
  </si>
  <si>
    <t>distinction between revaluation and devaluation of a fixed exchange rate</t>
  </si>
  <si>
    <t>11.2.4</t>
  </si>
  <si>
    <t>changes in the exchange rate under different exchange rate systems</t>
  </si>
  <si>
    <t>11.2.5</t>
  </si>
  <si>
    <t>the effects of changing exchange rates on the external economy using Marshall-Lerner and J curve analysis</t>
  </si>
  <si>
    <t>11.3</t>
  </si>
  <si>
    <t>Economic development</t>
  </si>
  <si>
    <t>11.3.1</t>
  </si>
  <si>
    <t>classification of economies in terms of their level of development</t>
  </si>
  <si>
    <t>11.3.2</t>
  </si>
  <si>
    <t>classification of economies in terms of their level of national income</t>
  </si>
  <si>
    <t>11.3.3</t>
  </si>
  <si>
    <t>indicators of living standards and economic development:</t>
  </si>
  <si>
    <t>• monetary indicators including real per capita national income statistics (GDP, GNI, NNI) and purchasing power parity
• issues of comparison using monetary indicators
• non-monetary indicators
• composite indicators:
   – Human Development Index (HDI)
   – Measure of Economic Welfare (MEW)
   – Multidimensional Poverty Index (MPI)
• the Kuznets curve</t>
  </si>
  <si>
    <t>11.3.4</t>
  </si>
  <si>
    <t>comparison of economic growth rates and living standards:</t>
  </si>
  <si>
    <t>• over time
• between countries</t>
  </si>
  <si>
    <t>11.4</t>
  </si>
  <si>
    <t>Characteristics of countries at different levels of development</t>
  </si>
  <si>
    <t>11.4.1</t>
  </si>
  <si>
    <t>population growth and structure:</t>
  </si>
  <si>
    <t>• measurement and causes of changes in birth rate, death rate, infant mortality and net migration
• optimum population
• level of urbanisation</t>
  </si>
  <si>
    <t>11.4.2</t>
  </si>
  <si>
    <t>income distribution:</t>
  </si>
  <si>
    <t>• calculation of Gini coefficient and Lorenz curve analysis</t>
  </si>
  <si>
    <t>11.4.3</t>
  </si>
  <si>
    <t>economic structure:</t>
  </si>
  <si>
    <t>• employment composition: primary, secondary and tertiary sectors
• pattern of trade at different levels of development</t>
  </si>
  <si>
    <t>11.5</t>
  </si>
  <si>
    <t>Relationship between countries at different levels of development</t>
  </si>
  <si>
    <t>11.5.1</t>
  </si>
  <si>
    <t>international aid:</t>
  </si>
  <si>
    <t>• forms of aid
• reasons for giving aid
• effects of aid
• importance of aid</t>
  </si>
  <si>
    <t>11.5.2</t>
  </si>
  <si>
    <t>trade and investment</t>
  </si>
  <si>
    <t>11.5.3</t>
  </si>
  <si>
    <t>role of multinational companies (MNCs):</t>
  </si>
  <si>
    <t>• definition of MNC
• activities of MNCs
• consequences of MNCs</t>
  </si>
  <si>
    <t>11.5.4</t>
  </si>
  <si>
    <t>Foreign Direct Investment (FDI):</t>
  </si>
  <si>
    <t>• definition of FDI
• consequences of FDI</t>
  </si>
  <si>
    <t>11.5.5</t>
  </si>
  <si>
    <t>external debt:</t>
  </si>
  <si>
    <t>• causes of debt
• consequences of debt</t>
  </si>
  <si>
    <t>11.5.6</t>
  </si>
  <si>
    <t>role of the International Monetary Fund (IMF)</t>
  </si>
  <si>
    <t>11.5.7</t>
  </si>
  <si>
    <t>role of the World Bank</t>
  </si>
  <si>
    <t>11.6</t>
  </si>
  <si>
    <t>Globalisation</t>
  </si>
  <si>
    <t>11.6.1</t>
  </si>
  <si>
    <t>meaning of globalisation and its causes and consequences</t>
  </si>
  <si>
    <t>11.6.2</t>
  </si>
  <si>
    <t>distinction between a free trade area, a customs union, a monetary union and full economic union</t>
  </si>
  <si>
    <t>11.6.3</t>
  </si>
  <si>
    <t>trade creation and trade diversion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</si>
</sst>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);[Red]\(0.00\)"/>
  </numFmts>
  <fonts count="9" x14ac:knownFonts="1">
    <font>
      <sz val="11"/>
      <name val="Carlito"/>
    </font>
    <font>
      <sz val="11"/>
      <name val="Carlito"/>
    </font>
    <font>
      <sz val="11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name val="Calibri"/>
    </font>
    <font>
      <b/>
      <sz val="10"/>
      <color rgb="FF000000"/>
      <name val="Carlito"/>
    </font>
    <font>
      <sz val="10"/>
      <color rgb="FF000000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176" fontId="3" fillId="0" borderId="0" xfId="1" applyNumberFormat="1" applyFont="1" applyAlignment="1">
      <alignment horizontal="center" vertical="top"/>
    </xf>
    <xf numFmtId="176" fontId="4" fillId="0" borderId="1" xfId="1" applyNumberFormat="1" applyFont="1" applyBorder="1" applyAlignment="1">
      <alignment horizontal="center" vertical="top" wrapText="1"/>
    </xf>
    <xf numFmtId="176" fontId="3" fillId="0" borderId="0" xfId="1" applyNumberFormat="1" applyFont="1" applyAlignment="1">
      <alignment horizontal="center" vertical="top" wrapText="1"/>
    </xf>
    <xf numFmtId="176" fontId="3" fillId="0" borderId="0" xfId="1" applyNumberFormat="1" applyFont="1" applyAlignment="1">
      <alignment horizontal="center"/>
    </xf>
    <xf numFmtId="176" fontId="2" fillId="0" borderId="0" xfId="1" applyNumberFormat="1" applyFont="1" applyAlignment="1">
      <alignment horizontal="center"/>
    </xf>
    <xf numFmtId="176" fontId="4" fillId="0" borderId="0" xfId="1" applyNumberFormat="1" applyFont="1" applyAlignment="1">
      <alignment horizontal="center"/>
    </xf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G4" sqref="G4"/>
    </sheetView>
  </sheetViews>
  <sheetFormatPr defaultRowHeight="14.5" x14ac:dyDescent="0.35"/>
  <cols>
    <col min="1" max="1" width="12" style="2" customWidth="1"/>
    <col min="2" max="2" width="17.54296875" style="11" customWidth="1"/>
    <col min="3" max="3" width="14" style="2" customWidth="1"/>
    <col min="4" max="4" width="26.1796875" style="2" customWidth="1"/>
    <col min="5" max="5" width="52.1796875" style="2" customWidth="1"/>
    <col min="6" max="6" width="15" style="24" customWidth="1"/>
    <col min="7" max="16384" width="8.7265625" style="2"/>
  </cols>
  <sheetData>
    <row r="1" spans="1:6" x14ac:dyDescent="0.35">
      <c r="A1" s="12" t="s">
        <v>0</v>
      </c>
      <c r="B1" s="13"/>
      <c r="C1" s="1"/>
      <c r="D1" s="1"/>
      <c r="E1" s="1"/>
      <c r="F1" s="20"/>
    </row>
    <row r="2" spans="1:6" x14ac:dyDescent="0.35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21" t="s">
        <v>6</v>
      </c>
    </row>
    <row r="3" spans="1:6" ht="156" x14ac:dyDescent="0.35">
      <c r="A3" s="5" t="s">
        <v>7</v>
      </c>
      <c r="B3" s="6" t="s">
        <v>8</v>
      </c>
      <c r="C3" s="5" t="s">
        <v>9</v>
      </c>
      <c r="D3" s="7" t="s">
        <v>10</v>
      </c>
      <c r="E3" s="7" t="s">
        <v>11</v>
      </c>
      <c r="F3" s="22">
        <v>2</v>
      </c>
    </row>
    <row r="4" spans="1:6" ht="78" x14ac:dyDescent="0.35">
      <c r="A4" s="5" t="s">
        <v>7</v>
      </c>
      <c r="B4" s="6"/>
      <c r="C4" s="5" t="s">
        <v>12</v>
      </c>
      <c r="D4" s="7" t="s">
        <v>13</v>
      </c>
      <c r="E4" s="7" t="s">
        <v>14</v>
      </c>
      <c r="F4" s="22">
        <v>1.5</v>
      </c>
    </row>
    <row r="5" spans="1:6" ht="39" x14ac:dyDescent="0.35">
      <c r="A5" s="5" t="s">
        <v>7</v>
      </c>
      <c r="B5" s="6"/>
      <c r="C5" s="5" t="s">
        <v>15</v>
      </c>
      <c r="D5" s="7" t="s">
        <v>16</v>
      </c>
      <c r="E5" s="7" t="s">
        <v>17</v>
      </c>
      <c r="F5" s="22">
        <v>0.5</v>
      </c>
    </row>
    <row r="6" spans="1:6" ht="26" x14ac:dyDescent="0.35">
      <c r="A6" s="5" t="s">
        <v>18</v>
      </c>
      <c r="B6" s="6" t="s">
        <v>19</v>
      </c>
      <c r="C6" s="5" t="s">
        <v>20</v>
      </c>
      <c r="D6" s="7" t="s">
        <v>21</v>
      </c>
      <c r="E6" s="7"/>
      <c r="F6" s="22">
        <v>0.5</v>
      </c>
    </row>
    <row r="7" spans="1:6" ht="26" x14ac:dyDescent="0.35">
      <c r="A7" s="5" t="s">
        <v>18</v>
      </c>
      <c r="B7" s="6"/>
      <c r="C7" s="5" t="s">
        <v>22</v>
      </c>
      <c r="D7" s="7" t="s">
        <v>23</v>
      </c>
      <c r="E7" s="7"/>
      <c r="F7" s="22">
        <v>0.5</v>
      </c>
    </row>
    <row r="8" spans="1:6" ht="39" x14ac:dyDescent="0.35">
      <c r="A8" s="5" t="s">
        <v>18</v>
      </c>
      <c r="B8" s="6"/>
      <c r="C8" s="5" t="s">
        <v>24</v>
      </c>
      <c r="D8" s="7" t="s">
        <v>25</v>
      </c>
      <c r="E8" s="7" t="s">
        <v>26</v>
      </c>
      <c r="F8" s="22">
        <v>0.75</v>
      </c>
    </row>
    <row r="9" spans="1:6" ht="26" x14ac:dyDescent="0.35">
      <c r="A9" s="5" t="s">
        <v>18</v>
      </c>
      <c r="B9" s="6"/>
      <c r="C9" s="5" t="s">
        <v>27</v>
      </c>
      <c r="D9" s="7" t="s">
        <v>28</v>
      </c>
      <c r="E9" s="7"/>
      <c r="F9" s="22">
        <v>1</v>
      </c>
    </row>
    <row r="10" spans="1:6" ht="39" x14ac:dyDescent="0.35">
      <c r="A10" s="5" t="s">
        <v>18</v>
      </c>
      <c r="B10" s="6"/>
      <c r="C10" s="5" t="s">
        <v>29</v>
      </c>
      <c r="D10" s="7" t="s">
        <v>30</v>
      </c>
      <c r="E10" s="7" t="s">
        <v>31</v>
      </c>
      <c r="F10" s="22">
        <v>1</v>
      </c>
    </row>
    <row r="11" spans="1:6" ht="78" x14ac:dyDescent="0.35">
      <c r="A11" s="5" t="s">
        <v>18</v>
      </c>
      <c r="B11" s="6"/>
      <c r="C11" s="5" t="s">
        <v>32</v>
      </c>
      <c r="D11" s="7" t="s">
        <v>33</v>
      </c>
      <c r="E11" s="7" t="s">
        <v>34</v>
      </c>
      <c r="F11" s="22">
        <v>1</v>
      </c>
    </row>
    <row r="12" spans="1:6" ht="26" x14ac:dyDescent="0.35">
      <c r="A12" s="5" t="s">
        <v>35</v>
      </c>
      <c r="B12" s="6" t="s">
        <v>36</v>
      </c>
      <c r="C12" s="5" t="s">
        <v>37</v>
      </c>
      <c r="D12" s="7" t="s">
        <v>38</v>
      </c>
      <c r="E12" s="7"/>
      <c r="F12" s="22">
        <v>0.25</v>
      </c>
    </row>
    <row r="13" spans="1:6" ht="39" x14ac:dyDescent="0.35">
      <c r="A13" s="5" t="s">
        <v>35</v>
      </c>
      <c r="B13" s="6"/>
      <c r="C13" s="5" t="s">
        <v>39</v>
      </c>
      <c r="D13" s="7" t="s">
        <v>40</v>
      </c>
      <c r="E13" s="7"/>
      <c r="F13" s="22">
        <v>0.5</v>
      </c>
    </row>
    <row r="14" spans="1:6" ht="26" x14ac:dyDescent="0.35">
      <c r="A14" s="5" t="s">
        <v>35</v>
      </c>
      <c r="B14" s="6"/>
      <c r="C14" s="5" t="s">
        <v>41</v>
      </c>
      <c r="D14" s="7" t="s">
        <v>42</v>
      </c>
      <c r="E14" s="7"/>
      <c r="F14" s="22">
        <v>0.25</v>
      </c>
    </row>
    <row r="15" spans="1:6" ht="39" x14ac:dyDescent="0.35">
      <c r="A15" s="5" t="s">
        <v>35</v>
      </c>
      <c r="B15" s="6"/>
      <c r="C15" s="5" t="s">
        <v>43</v>
      </c>
      <c r="D15" s="7" t="s">
        <v>44</v>
      </c>
      <c r="E15" s="7" t="s">
        <v>45</v>
      </c>
      <c r="F15" s="22">
        <v>0.5</v>
      </c>
    </row>
    <row r="16" spans="1:6" ht="26" x14ac:dyDescent="0.35">
      <c r="A16" s="5" t="s">
        <v>35</v>
      </c>
      <c r="B16" s="6"/>
      <c r="C16" s="5" t="s">
        <v>46</v>
      </c>
      <c r="D16" s="7" t="s">
        <v>47</v>
      </c>
      <c r="E16" s="7"/>
      <c r="F16" s="22">
        <v>0.25</v>
      </c>
    </row>
    <row r="17" spans="1:6" ht="26" x14ac:dyDescent="0.35">
      <c r="A17" s="5" t="s">
        <v>35</v>
      </c>
      <c r="B17" s="6"/>
      <c r="C17" s="5" t="s">
        <v>48</v>
      </c>
      <c r="D17" s="7" t="s">
        <v>49</v>
      </c>
      <c r="E17" s="7" t="s">
        <v>50</v>
      </c>
      <c r="F17" s="22">
        <v>0.5</v>
      </c>
    </row>
    <row r="18" spans="1:6" ht="26" x14ac:dyDescent="0.35">
      <c r="A18" s="5" t="s">
        <v>35</v>
      </c>
      <c r="B18" s="6"/>
      <c r="C18" s="5" t="s">
        <v>51</v>
      </c>
      <c r="D18" s="7" t="s">
        <v>52</v>
      </c>
      <c r="E18" s="7"/>
      <c r="F18" s="22">
        <v>1</v>
      </c>
    </row>
    <row r="19" spans="1:6" ht="26" x14ac:dyDescent="0.35">
      <c r="A19" s="5" t="s">
        <v>53</v>
      </c>
      <c r="B19" s="6" t="s">
        <v>54</v>
      </c>
      <c r="C19" s="5" t="s">
        <v>55</v>
      </c>
      <c r="D19" s="7" t="s">
        <v>56</v>
      </c>
      <c r="E19" s="7"/>
      <c r="F19" s="22">
        <v>1</v>
      </c>
    </row>
    <row r="20" spans="1:6" x14ac:dyDescent="0.35">
      <c r="A20" s="5" t="s">
        <v>53</v>
      </c>
      <c r="B20" s="6"/>
      <c r="C20" s="5" t="s">
        <v>57</v>
      </c>
      <c r="D20" s="7" t="s">
        <v>58</v>
      </c>
      <c r="E20" s="7"/>
      <c r="F20" s="22">
        <v>0.25</v>
      </c>
    </row>
    <row r="21" spans="1:6" ht="26" x14ac:dyDescent="0.35">
      <c r="A21" s="5" t="s">
        <v>53</v>
      </c>
      <c r="B21" s="6"/>
      <c r="C21" s="5" t="s">
        <v>59</v>
      </c>
      <c r="D21" s="7" t="s">
        <v>60</v>
      </c>
      <c r="E21" s="7"/>
      <c r="F21" s="22">
        <v>1</v>
      </c>
    </row>
    <row r="22" spans="1:6" ht="78" x14ac:dyDescent="0.35">
      <c r="A22" s="5" t="s">
        <v>53</v>
      </c>
      <c r="B22" s="6"/>
      <c r="C22" s="5" t="s">
        <v>61</v>
      </c>
      <c r="D22" s="7" t="s">
        <v>62</v>
      </c>
      <c r="E22" s="7" t="s">
        <v>63</v>
      </c>
      <c r="F22" s="22">
        <v>1</v>
      </c>
    </row>
    <row r="23" spans="1:6" ht="78" x14ac:dyDescent="0.35">
      <c r="A23" s="5" t="s">
        <v>53</v>
      </c>
      <c r="B23" s="6"/>
      <c r="C23" s="5" t="s">
        <v>64</v>
      </c>
      <c r="D23" s="7" t="s">
        <v>65</v>
      </c>
      <c r="E23" s="7" t="s">
        <v>66</v>
      </c>
      <c r="F23" s="22">
        <v>2</v>
      </c>
    </row>
    <row r="24" spans="1:6" ht="26" x14ac:dyDescent="0.35">
      <c r="A24" s="5" t="s">
        <v>53</v>
      </c>
      <c r="B24" s="6"/>
      <c r="C24" s="5" t="s">
        <v>67</v>
      </c>
      <c r="D24" s="7" t="s">
        <v>68</v>
      </c>
      <c r="E24" s="7"/>
      <c r="F24" s="22">
        <v>1</v>
      </c>
    </row>
    <row r="25" spans="1:6" ht="26" x14ac:dyDescent="0.35">
      <c r="A25" s="5" t="s">
        <v>53</v>
      </c>
      <c r="B25" s="6"/>
      <c r="C25" s="5" t="s">
        <v>69</v>
      </c>
      <c r="D25" s="7" t="s">
        <v>70</v>
      </c>
      <c r="E25" s="7"/>
      <c r="F25" s="22">
        <v>2</v>
      </c>
    </row>
    <row r="26" spans="1:6" ht="39" x14ac:dyDescent="0.35">
      <c r="A26" s="5" t="s">
        <v>53</v>
      </c>
      <c r="B26" s="6"/>
      <c r="C26" s="5" t="s">
        <v>71</v>
      </c>
      <c r="D26" s="7" t="s">
        <v>72</v>
      </c>
      <c r="E26" s="7"/>
      <c r="F26" s="22">
        <v>1.5</v>
      </c>
    </row>
    <row r="27" spans="1:6" x14ac:dyDescent="0.35">
      <c r="A27" s="8"/>
      <c r="B27" s="9"/>
      <c r="C27" s="8"/>
      <c r="D27" s="8"/>
      <c r="E27" s="8"/>
      <c r="F27" s="25">
        <f>SUM(F3:F26)</f>
        <v>21.75</v>
      </c>
    </row>
    <row r="28" spans="1:6" ht="8.9" customHeight="1" x14ac:dyDescent="0.35">
      <c r="A28" s="10"/>
      <c r="B28" s="9"/>
      <c r="C28" s="8"/>
      <c r="D28" s="8"/>
      <c r="E28" s="8"/>
      <c r="F28" s="23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21" sqref="D21"/>
    </sheetView>
  </sheetViews>
  <sheetFormatPr defaultRowHeight="13" x14ac:dyDescent="0.3"/>
  <cols>
    <col min="1" max="1" width="8.54296875" style="14" customWidth="1"/>
    <col min="2" max="2" width="27" style="14" customWidth="1"/>
    <col min="3" max="3" width="7.90625" style="14" customWidth="1"/>
    <col min="4" max="4" width="52.453125" style="14" customWidth="1"/>
    <col min="5" max="5" width="37.81640625" style="14" customWidth="1"/>
    <col min="6" max="6" width="15" style="14" customWidth="1"/>
    <col min="7" max="16384" width="8.7265625" style="14"/>
  </cols>
  <sheetData>
    <row r="1" spans="1:6" x14ac:dyDescent="0.3">
      <c r="A1" s="10" t="s">
        <v>73</v>
      </c>
      <c r="B1" s="10"/>
      <c r="C1" s="10"/>
      <c r="D1" s="10"/>
      <c r="E1" s="10"/>
      <c r="F1" s="10"/>
    </row>
    <row r="2" spans="1:6" ht="26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ht="39" x14ac:dyDescent="0.3">
      <c r="A3" s="5" t="s">
        <v>74</v>
      </c>
      <c r="B3" s="6" t="s">
        <v>75</v>
      </c>
      <c r="C3" s="5" t="s">
        <v>76</v>
      </c>
      <c r="D3" s="6" t="s">
        <v>77</v>
      </c>
      <c r="E3" s="6"/>
      <c r="F3" s="22">
        <v>0.5</v>
      </c>
    </row>
    <row r="4" spans="1:6" ht="39" x14ac:dyDescent="0.3">
      <c r="A4" s="5" t="s">
        <v>78</v>
      </c>
      <c r="B4" s="6" t="s">
        <v>79</v>
      </c>
      <c r="C4" s="5" t="s">
        <v>80</v>
      </c>
      <c r="D4" s="6" t="s">
        <v>81</v>
      </c>
      <c r="E4" s="6"/>
      <c r="F4" s="22">
        <v>0.5</v>
      </c>
    </row>
    <row r="5" spans="1:6" x14ac:dyDescent="0.3">
      <c r="A5" s="5" t="s">
        <v>78</v>
      </c>
      <c r="B5" s="6"/>
      <c r="C5" s="5" t="s">
        <v>82</v>
      </c>
      <c r="D5" s="6" t="s">
        <v>83</v>
      </c>
      <c r="E5" s="6"/>
      <c r="F5" s="22">
        <v>0.5</v>
      </c>
    </row>
    <row r="6" spans="1:6" x14ac:dyDescent="0.3">
      <c r="A6" s="5" t="s">
        <v>78</v>
      </c>
      <c r="B6" s="6"/>
      <c r="C6" s="5" t="s">
        <v>84</v>
      </c>
      <c r="D6" s="6" t="s">
        <v>85</v>
      </c>
      <c r="E6" s="6"/>
      <c r="F6" s="22">
        <v>0.5</v>
      </c>
    </row>
    <row r="7" spans="1:6" x14ac:dyDescent="0.3">
      <c r="A7" s="5" t="s">
        <v>78</v>
      </c>
      <c r="B7" s="6"/>
      <c r="C7" s="5" t="s">
        <v>86</v>
      </c>
      <c r="D7" s="6" t="s">
        <v>87</v>
      </c>
      <c r="E7" s="6"/>
      <c r="F7" s="22">
        <v>0.5</v>
      </c>
    </row>
    <row r="8" spans="1:6" ht="39" x14ac:dyDescent="0.3">
      <c r="A8" s="5" t="s">
        <v>78</v>
      </c>
      <c r="B8" s="6"/>
      <c r="C8" s="5" t="s">
        <v>88</v>
      </c>
      <c r="D8" s="6" t="s">
        <v>89</v>
      </c>
      <c r="E8" s="6" t="s">
        <v>90</v>
      </c>
      <c r="F8" s="22">
        <v>1</v>
      </c>
    </row>
    <row r="9" spans="1:6" ht="78" x14ac:dyDescent="0.3">
      <c r="A9" s="5" t="s">
        <v>91</v>
      </c>
      <c r="B9" s="6" t="s">
        <v>92</v>
      </c>
      <c r="C9" s="5" t="s">
        <v>93</v>
      </c>
      <c r="D9" s="6" t="s">
        <v>94</v>
      </c>
      <c r="E9" s="6" t="s">
        <v>95</v>
      </c>
      <c r="F9" s="22">
        <v>2</v>
      </c>
    </row>
    <row r="10" spans="1:6" x14ac:dyDescent="0.3">
      <c r="A10" s="5" t="s">
        <v>91</v>
      </c>
      <c r="B10" s="6"/>
      <c r="C10" s="5" t="s">
        <v>96</v>
      </c>
      <c r="D10" s="6" t="s">
        <v>97</v>
      </c>
      <c r="E10" s="6"/>
      <c r="F10" s="22">
        <v>0.5</v>
      </c>
    </row>
    <row r="11" spans="1:6" x14ac:dyDescent="0.3">
      <c r="A11" s="5" t="s">
        <v>91</v>
      </c>
      <c r="B11" s="6"/>
      <c r="C11" s="5" t="s">
        <v>98</v>
      </c>
      <c r="D11" s="6" t="s">
        <v>99</v>
      </c>
      <c r="E11" s="6"/>
      <c r="F11" s="22">
        <v>1</v>
      </c>
    </row>
    <row r="12" spans="1:6" x14ac:dyDescent="0.3">
      <c r="F12" s="25">
        <f>SUM(F3:F11)</f>
        <v>7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activeCell="D13" sqref="D13"/>
    </sheetView>
  </sheetViews>
  <sheetFormatPr defaultRowHeight="14.5" x14ac:dyDescent="0.35"/>
  <cols>
    <col min="1" max="1" width="12" customWidth="1"/>
    <col min="2" max="2" width="27" customWidth="1"/>
    <col min="3" max="3" width="14" customWidth="1"/>
    <col min="4" max="4" width="51.26953125" customWidth="1"/>
    <col min="5" max="5" width="36" customWidth="1"/>
    <col min="6" max="6" width="15" customWidth="1"/>
  </cols>
  <sheetData>
    <row r="1" spans="1:6" x14ac:dyDescent="0.35">
      <c r="A1" s="16" t="s">
        <v>100</v>
      </c>
      <c r="B1" s="16"/>
      <c r="C1" s="16"/>
      <c r="D1" s="16"/>
      <c r="E1" s="16"/>
      <c r="F1" s="16"/>
    </row>
    <row r="2" spans="1:6" x14ac:dyDescent="0.3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</row>
    <row r="3" spans="1:6" ht="26" x14ac:dyDescent="0.35">
      <c r="A3" s="18" t="s">
        <v>101</v>
      </c>
      <c r="B3" s="19" t="s">
        <v>102</v>
      </c>
      <c r="C3" s="18" t="s">
        <v>103</v>
      </c>
      <c r="D3" s="19" t="s">
        <v>104</v>
      </c>
      <c r="E3" s="19"/>
      <c r="F3" s="18"/>
    </row>
    <row r="4" spans="1:6" ht="26" x14ac:dyDescent="0.35">
      <c r="A4" s="18" t="s">
        <v>101</v>
      </c>
      <c r="B4" s="19"/>
      <c r="C4" s="18" t="s">
        <v>105</v>
      </c>
      <c r="D4" s="19" t="s">
        <v>106</v>
      </c>
      <c r="E4" s="19"/>
      <c r="F4" s="18"/>
    </row>
    <row r="5" spans="1:6" ht="26" x14ac:dyDescent="0.35">
      <c r="A5" s="18" t="s">
        <v>101</v>
      </c>
      <c r="B5" s="19"/>
      <c r="C5" s="18" t="s">
        <v>107</v>
      </c>
      <c r="D5" s="19" t="s">
        <v>108</v>
      </c>
      <c r="E5" s="19"/>
      <c r="F5" s="5"/>
    </row>
    <row r="6" spans="1:6" ht="39" x14ac:dyDescent="0.35">
      <c r="A6" s="18" t="s">
        <v>109</v>
      </c>
      <c r="B6" s="19" t="s">
        <v>110</v>
      </c>
      <c r="C6" s="18" t="s">
        <v>111</v>
      </c>
      <c r="D6" s="19" t="s">
        <v>112</v>
      </c>
      <c r="E6" s="19" t="s">
        <v>113</v>
      </c>
      <c r="F6" s="18"/>
    </row>
    <row r="7" spans="1:6" ht="26" x14ac:dyDescent="0.35">
      <c r="A7" s="18" t="s">
        <v>109</v>
      </c>
      <c r="B7" s="19"/>
      <c r="C7" s="18" t="s">
        <v>114</v>
      </c>
      <c r="D7" s="19" t="s">
        <v>115</v>
      </c>
      <c r="E7" s="19"/>
      <c r="F7" s="18"/>
    </row>
    <row r="8" spans="1:6" ht="26" x14ac:dyDescent="0.35">
      <c r="A8" s="18" t="s">
        <v>109</v>
      </c>
      <c r="B8" s="19"/>
      <c r="C8" s="18" t="s">
        <v>116</v>
      </c>
      <c r="D8" s="19" t="s">
        <v>117</v>
      </c>
      <c r="E8" s="19"/>
      <c r="F8" s="18"/>
    </row>
    <row r="9" spans="1:6" ht="26" x14ac:dyDescent="0.35">
      <c r="A9" s="18" t="s">
        <v>109</v>
      </c>
      <c r="B9" s="19"/>
      <c r="C9" s="18" t="s">
        <v>118</v>
      </c>
      <c r="D9" s="19" t="s">
        <v>119</v>
      </c>
      <c r="E9" s="19"/>
      <c r="F9" s="18"/>
    </row>
    <row r="10" spans="1:6" ht="26" x14ac:dyDescent="0.35">
      <c r="A10" s="18" t="s">
        <v>109</v>
      </c>
      <c r="B10" s="19"/>
      <c r="C10" s="18" t="s">
        <v>120</v>
      </c>
      <c r="D10" s="19" t="s">
        <v>121</v>
      </c>
      <c r="E10" s="19"/>
      <c r="F10" s="18"/>
    </row>
    <row r="11" spans="1:6" x14ac:dyDescent="0.35">
      <c r="A11" s="18" t="s">
        <v>122</v>
      </c>
      <c r="B11" s="19" t="s">
        <v>123</v>
      </c>
      <c r="C11" s="18" t="s">
        <v>124</v>
      </c>
      <c r="D11" s="19" t="s">
        <v>125</v>
      </c>
      <c r="E11" s="19"/>
      <c r="F11" s="18"/>
    </row>
    <row r="12" spans="1:6" ht="26" x14ac:dyDescent="0.35">
      <c r="A12" s="18" t="s">
        <v>122</v>
      </c>
      <c r="B12" s="19"/>
      <c r="C12" s="18" t="s">
        <v>126</v>
      </c>
      <c r="D12" s="19" t="s">
        <v>127</v>
      </c>
      <c r="E12" s="19"/>
      <c r="F12" s="18"/>
    </row>
    <row r="13" spans="1:6" ht="143" x14ac:dyDescent="0.35">
      <c r="A13" s="18" t="s">
        <v>122</v>
      </c>
      <c r="B13" s="19"/>
      <c r="C13" s="18" t="s">
        <v>128</v>
      </c>
      <c r="D13" s="19" t="s">
        <v>129</v>
      </c>
      <c r="E13" s="19" t="s">
        <v>130</v>
      </c>
      <c r="F13" s="18"/>
    </row>
    <row r="14" spans="1:6" ht="26" x14ac:dyDescent="0.35">
      <c r="A14" s="18" t="s">
        <v>122</v>
      </c>
      <c r="B14" s="19"/>
      <c r="C14" s="18" t="s">
        <v>131</v>
      </c>
      <c r="D14" s="19" t="s">
        <v>132</v>
      </c>
      <c r="E14" s="19" t="s">
        <v>133</v>
      </c>
      <c r="F14" s="18"/>
    </row>
    <row r="15" spans="1:6" ht="65" x14ac:dyDescent="0.35">
      <c r="A15" s="18" t="s">
        <v>134</v>
      </c>
      <c r="B15" s="19" t="s">
        <v>135</v>
      </c>
      <c r="C15" s="18" t="s">
        <v>136</v>
      </c>
      <c r="D15" s="19" t="s">
        <v>137</v>
      </c>
      <c r="E15" s="19" t="s">
        <v>138</v>
      </c>
      <c r="F15" s="18"/>
    </row>
    <row r="16" spans="1:6" ht="26" x14ac:dyDescent="0.35">
      <c r="A16" s="18" t="s">
        <v>134</v>
      </c>
      <c r="B16" s="19"/>
      <c r="C16" s="18" t="s">
        <v>139</v>
      </c>
      <c r="D16" s="19" t="s">
        <v>140</v>
      </c>
      <c r="E16" s="19" t="s">
        <v>141</v>
      </c>
      <c r="F16" s="18"/>
    </row>
    <row r="17" spans="1:6" ht="52" x14ac:dyDescent="0.35">
      <c r="A17" s="18" t="s">
        <v>134</v>
      </c>
      <c r="B17" s="19"/>
      <c r="C17" s="18" t="s">
        <v>142</v>
      </c>
      <c r="D17" s="19" t="s">
        <v>143</v>
      </c>
      <c r="E17" s="19" t="s">
        <v>144</v>
      </c>
      <c r="F17" s="18"/>
    </row>
    <row r="18" spans="1:6" ht="52" x14ac:dyDescent="0.35">
      <c r="A18" s="18" t="s">
        <v>145</v>
      </c>
      <c r="B18" s="19" t="s">
        <v>146</v>
      </c>
      <c r="C18" s="18" t="s">
        <v>147</v>
      </c>
      <c r="D18" s="19" t="s">
        <v>148</v>
      </c>
      <c r="E18" s="19" t="s">
        <v>149</v>
      </c>
      <c r="F18" s="18"/>
    </row>
    <row r="19" spans="1:6" x14ac:dyDescent="0.35">
      <c r="A19" s="18" t="s">
        <v>145</v>
      </c>
      <c r="B19" s="19"/>
      <c r="C19" s="18" t="s">
        <v>150</v>
      </c>
      <c r="D19" s="19" t="s">
        <v>151</v>
      </c>
      <c r="E19" s="19"/>
      <c r="F19" s="18"/>
    </row>
    <row r="20" spans="1:6" ht="39" x14ac:dyDescent="0.35">
      <c r="A20" s="18" t="s">
        <v>145</v>
      </c>
      <c r="B20" s="19"/>
      <c r="C20" s="18" t="s">
        <v>152</v>
      </c>
      <c r="D20" s="19" t="s">
        <v>153</v>
      </c>
      <c r="E20" s="19" t="s">
        <v>154</v>
      </c>
      <c r="F20" s="18"/>
    </row>
    <row r="21" spans="1:6" ht="26" x14ac:dyDescent="0.35">
      <c r="A21" s="18" t="s">
        <v>145</v>
      </c>
      <c r="B21" s="19"/>
      <c r="C21" s="18" t="s">
        <v>155</v>
      </c>
      <c r="D21" s="19" t="s">
        <v>156</v>
      </c>
      <c r="E21" s="19" t="s">
        <v>157</v>
      </c>
      <c r="F21" s="18"/>
    </row>
    <row r="22" spans="1:6" ht="26" x14ac:dyDescent="0.35">
      <c r="A22" s="18" t="s">
        <v>145</v>
      </c>
      <c r="B22" s="19"/>
      <c r="C22" s="18" t="s">
        <v>158</v>
      </c>
      <c r="D22" s="19" t="s">
        <v>159</v>
      </c>
      <c r="E22" s="19" t="s">
        <v>160</v>
      </c>
      <c r="F22" s="18"/>
    </row>
    <row r="23" spans="1:6" x14ac:dyDescent="0.35">
      <c r="A23" s="18" t="s">
        <v>145</v>
      </c>
      <c r="B23" s="19"/>
      <c r="C23" s="18" t="s">
        <v>161</v>
      </c>
      <c r="D23" s="19" t="s">
        <v>162</v>
      </c>
      <c r="E23" s="19"/>
      <c r="F23" s="18"/>
    </row>
    <row r="24" spans="1:6" x14ac:dyDescent="0.35">
      <c r="A24" s="18" t="s">
        <v>145</v>
      </c>
      <c r="B24" s="19"/>
      <c r="C24" s="18" t="s">
        <v>163</v>
      </c>
      <c r="D24" s="19" t="s">
        <v>164</v>
      </c>
      <c r="E24" s="19"/>
      <c r="F24" s="18"/>
    </row>
    <row r="25" spans="1:6" x14ac:dyDescent="0.35">
      <c r="A25" s="18" t="s">
        <v>165</v>
      </c>
      <c r="B25" s="19" t="s">
        <v>166</v>
      </c>
      <c r="C25" s="18" t="s">
        <v>167</v>
      </c>
      <c r="D25" s="19" t="s">
        <v>168</v>
      </c>
      <c r="E25" s="19"/>
      <c r="F25" s="18"/>
    </row>
    <row r="26" spans="1:6" ht="26" x14ac:dyDescent="0.35">
      <c r="A26" s="18" t="s">
        <v>165</v>
      </c>
      <c r="B26" s="19"/>
      <c r="C26" s="18" t="s">
        <v>169</v>
      </c>
      <c r="D26" s="19" t="s">
        <v>170</v>
      </c>
      <c r="E26" s="19"/>
      <c r="F26" s="18"/>
    </row>
    <row r="27" spans="1:6" x14ac:dyDescent="0.35">
      <c r="A27" s="18" t="s">
        <v>165</v>
      </c>
      <c r="B27" s="19"/>
      <c r="C27" s="18" t="s">
        <v>171</v>
      </c>
      <c r="D27" s="19" t="s">
        <v>172</v>
      </c>
      <c r="E27" s="19"/>
      <c r="F27" s="18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 Macroeconomy</vt:lpstr>
      <vt:lpstr>10 Government Macro</vt:lpstr>
      <vt:lpstr>11 International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Oehler-Huang</cp:lastModifiedBy>
  <dcterms:modified xsi:type="dcterms:W3CDTF">2026-08-31T05:25:51Z</dcterms:modified>
</cp:coreProperties>
</file>